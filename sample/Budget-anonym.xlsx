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" state="visible" r:id="rId4"/>
  </sheets>
  <calcPr calcId="171027"/>
</workbook>
</file>

<file path=xl/sharedStrings.xml><?xml version="1.0" encoding="utf-8"?>
<sst xmlns="http://schemas.openxmlformats.org/spreadsheetml/2006/main" count="141" uniqueCount="83">
  <si>
    <t>aujourdh'hui</t>
  </si>
  <si>
    <t>28/07/2026</t>
  </si>
  <si>
    <t>sur le compte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</si>
  <si>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</si>
  <si>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</si>
  <si>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</si>
  <si>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</si>
  <si>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</si>
  <si>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</si>
  <si>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</si>
  <si>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</si>
  <si>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</si>
  <si>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</si>
  <si>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</si>
  <si>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</si>
  <si>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total</t>
  </si>
  <si>
    <t>moyenne</t>
  </si>
  <si>
    <t>cout voyage voiture paris</t>
  </si>
  <si>
    <t>PRET</t>
  </si>
  <si>
    <t>EDF(engie)</t>
  </si>
  <si>
    <t>eau</t>
  </si>
  <si>
    <t xml:space="preserve">BANQUE </t>
  </si>
  <si>
    <t>Internet</t>
  </si>
  <si>
    <t>AssuranceS</t>
  </si>
  <si>
    <t>ep voiture</t>
  </si>
  <si>
    <t>voiture</t>
  </si>
  <si>
    <t>ESSENCE</t>
  </si>
  <si>
    <t xml:space="preserve">IMPOT </t>
  </si>
  <si>
    <t xml:space="preserve">bouffe </t>
  </si>
  <si>
    <t>ECOLE</t>
  </si>
  <si>
    <t>vacances</t>
  </si>
  <si>
    <t>ENFANTS</t>
  </si>
  <si>
    <t xml:space="preserve">autres </t>
  </si>
  <si>
    <t>travaux</t>
  </si>
  <si>
    <t>imprevus</t>
  </si>
  <si>
    <t>TOTAL</t>
  </si>
  <si>
    <t>YEPO</t>
  </si>
  <si>
    <t>JEN</t>
  </si>
  <si>
    <t>CAF</t>
  </si>
  <si>
    <t>antécédent</t>
  </si>
  <si>
    <t>TOTAUX</t>
  </si>
  <si>
    <t>reçu</t>
  </si>
  <si>
    <t>diff dep-reçu</t>
  </si>
  <si>
    <t>TOTAL AVEC ANT</t>
  </si>
  <si>
    <t xml:space="preserve">diff dep-reçu REEL </t>
  </si>
  <si>
    <t>ce qu'il nous manque</t>
  </si>
  <si>
    <t>autres</t>
  </si>
  <si>
    <t>septembre</t>
  </si>
  <si>
    <t>novembre</t>
  </si>
  <si>
    <t>décembre</t>
  </si>
  <si>
    <t>SPORT</t>
  </si>
  <si>
    <t>SPORT enfants</t>
  </si>
  <si>
    <t>anny +fetes</t>
  </si>
  <si>
    <t>keoly+park+ la poste</t>
  </si>
  <si>
    <t>keolys+parking</t>
  </si>
  <si>
    <t>PREV SANTE</t>
  </si>
  <si>
    <t>fringues</t>
  </si>
  <si>
    <t>resto</t>
  </si>
  <si>
    <t>AUTRES</t>
  </si>
  <si>
    <t>ep CHAT</t>
  </si>
  <si>
    <t>CHAT</t>
  </si>
  <si>
    <t>Total</t>
  </si>
  <si>
    <t>bouffe</t>
  </si>
  <si>
    <t>Argent mis de côté réellement</t>
  </si>
  <si>
    <t xml:space="preserve">ce que qu'on epargne </t>
  </si>
  <si>
    <t xml:space="preserve">sur quel compte </t>
  </si>
  <si>
    <t>sur</t>
  </si>
  <si>
    <t xml:space="preserve">chat </t>
  </si>
  <si>
    <t>LDD Aurélien</t>
  </si>
  <si>
    <t>IMPOT</t>
  </si>
  <si>
    <t xml:space="preserve">LDD jennifer </t>
  </si>
  <si>
    <t xml:space="preserve">enfants </t>
  </si>
  <si>
    <t>LDD aurelien</t>
  </si>
  <si>
    <t>VACANCES</t>
  </si>
  <si>
    <t xml:space="preserve">CEL Jennifer </t>
  </si>
  <si>
    <t xml:space="preserve">voiture </t>
  </si>
  <si>
    <t xml:space="preserve">CC travaux </t>
  </si>
  <si>
    <t xml:space="preserve">maison ( travaux) </t>
  </si>
  <si>
    <t xml:space="preserve">CHAT </t>
  </si>
  <si>
    <t>impots</t>
  </si>
  <si>
    <t xml:space="preserve">TRAVAUX </t>
  </si>
  <si>
    <t xml:space="preserve">imprevus maison geré sur le cc travaux </t>
  </si>
  <si>
    <t>VOITURES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</si>
</sst>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0"/>
      <name val="Arial"/>
    </font>
    <font>
      <color rgb="FFFF0000"/>
      <sz val="10"/>
      <name val="Arial"/>
    </font>
    <font>
      <b/>
      <sz val="10"/>
      <name val="Arial"/>
    </font>
    <font>
      <b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66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/>
    <xf numFmtId="49" fontId="1" fillId="0" borderId="2" xfId="0" applyNumberFormat="1" applyFont="1" applyBorder="1"/>
    <xf numFmtId="2" fontId="1" fillId="0" borderId="1" xfId="0" applyNumberFormat="1" applyFont="1" applyBorder="1"/>
    <xf numFmtId="2" fontId="1" fillId="0" borderId="2" xfId="0" applyNumberFormat="1" applyFont="1" applyBorder="1"/>
    <xf numFmtId="2" fontId="1" fillId="0" borderId="0" xfId="0" applyNumberFormat="1" applyFont="1"/>
    <xf numFmtId="0" fontId="1" fillId="0" borderId="3" xfId="0" applyFont="1" applyBorder="1"/>
    <xf numFmtId="2" fontId="1" fillId="0" borderId="4" xfId="0" applyNumberFormat="1" applyFont="1" applyBorder="1"/>
    <xf numFmtId="2" fontId="1" fillId="0" borderId="5" xfId="0" applyNumberFormat="1" applyFont="1" applyBorder="1"/>
    <xf numFmtId="2" fontId="1" fillId="0" borderId="6" xfId="0" applyNumberFormat="1" applyFont="1" applyBorder="1"/>
    <xf numFmtId="0" fontId="2" fillId="0" borderId="7" xfId="0" applyFont="1" applyBorder="1"/>
    <xf numFmtId="2" fontId="1" fillId="0" borderId="7" xfId="0" applyNumberFormat="1" applyFont="1" applyBorder="1"/>
    <xf numFmtId="0" fontId="3" fillId="0" borderId="0" xfId="0" applyFont="1"/>
    <xf numFmtId="2" fontId="1" fillId="0" borderId="8" xfId="0" applyNumberFormat="1" applyFont="1" applyBorder="1"/>
    <xf numFmtId="2" fontId="1" fillId="0" borderId="9" xfId="0" applyNumberFormat="1" applyFont="1" applyBorder="1"/>
    <xf numFmtId="2" fontId="1" fillId="0" borderId="10" xfId="0" applyNumberFormat="1" applyFont="1" applyBorder="1"/>
    <xf numFmtId="2" fontId="2" fillId="0" borderId="9" xfId="0" applyNumberFormat="1" applyFont="1" applyBorder="1"/>
    <xf numFmtId="0" fontId="2" fillId="0" borderId="0" xfId="0" applyFont="1"/>
    <xf numFmtId="0" fontId="1" fillId="0" borderId="0" xfId="0" applyFont="1"/>
    <xf numFmtId="0" fontId="1" fillId="0" borderId="9" xfId="0" applyFont="1" applyBorder="1"/>
    <xf numFmtId="2" fontId="1" fillId="2" borderId="10" xfId="0" applyNumberFormat="1" applyFont="1" applyFill="1" applyBorder="1"/>
    <xf numFmtId="0" fontId="1" fillId="0" borderId="10" xfId="0" applyFont="1" applyBorder="1"/>
    <xf numFmtId="2" fontId="1" fillId="2" borderId="3" xfId="0" applyNumberFormat="1" applyFont="1" applyFill="1" applyBorder="1"/>
    <xf numFmtId="2" fontId="1" fillId="0" borderId="3" xfId="0" applyNumberFormat="1" applyFont="1" applyBorder="1"/>
    <xf numFmtId="2" fontId="1" fillId="2" borderId="7" xfId="0" applyNumberFormat="1" applyFont="1" applyFill="1" applyBorder="1"/>
    <xf numFmtId="0" fontId="3" fillId="0" borderId="5" xfId="0" applyFont="1" applyBorder="1"/>
    <xf numFmtId="2" fontId="1" fillId="3" borderId="7" xfId="0" applyNumberFormat="1" applyFont="1" applyFill="1" applyBorder="1"/>
    <xf numFmtId="2" fontId="1" fillId="2" borderId="9" xfId="0" applyNumberFormat="1" applyFont="1" applyFill="1" applyBorder="1"/>
    <xf numFmtId="2" fontId="1" fillId="3" borderId="9" xfId="0" applyNumberFormat="1" applyFont="1" applyFill="1" applyBorder="1"/>
    <xf numFmtId="2" fontId="1" fillId="0" borderId="11" xfId="0" applyNumberFormat="1" applyFont="1" applyBorder="1"/>
    <xf numFmtId="2" fontId="2" fillId="2" borderId="10" xfId="0" applyNumberFormat="1" applyFont="1" applyFill="1" applyBorder="1"/>
    <xf numFmtId="2" fontId="2" fillId="0" borderId="10" xfId="0" applyNumberFormat="1" applyFont="1" applyBorder="1"/>
    <xf numFmtId="2" fontId="1" fillId="3" borderId="10" xfId="0" applyNumberFormat="1" applyFont="1" applyFill="1" applyBorder="1"/>
    <xf numFmtId="0" fontId="1" fillId="0" borderId="12" xfId="0" applyFont="1" applyBorder="1"/>
    <xf numFmtId="2" fontId="3" fillId="2" borderId="12" xfId="0" applyNumberFormat="1" applyFont="1" applyFill="1" applyBorder="1"/>
    <xf numFmtId="2" fontId="3" fillId="0" borderId="12" xfId="0" applyNumberFormat="1" applyFont="1" applyBorder="1"/>
    <xf numFmtId="0" fontId="1" fillId="0" borderId="13" xfId="0" applyFont="1" applyBorder="1"/>
    <xf numFmtId="2" fontId="1" fillId="2" borderId="13" xfId="0" applyNumberFormat="1" applyFont="1" applyFill="1" applyBorder="1"/>
    <xf numFmtId="2" fontId="1" fillId="2" borderId="14" xfId="0" applyNumberFormat="1" applyFont="1" applyFill="1" applyBorder="1"/>
    <xf numFmtId="2" fontId="1" fillId="0" borderId="14" xfId="0" applyNumberFormat="1" applyFont="1" applyBorder="1"/>
    <xf numFmtId="0" fontId="1" fillId="0" borderId="15" xfId="0" applyFont="1" applyBorder="1"/>
    <xf numFmtId="2" fontId="1" fillId="2" borderId="16" xfId="0" applyNumberFormat="1" applyFont="1" applyFill="1" applyBorder="1"/>
    <xf numFmtId="2" fontId="2" fillId="0" borderId="14" xfId="0" applyNumberFormat="1" applyFont="1" applyBorder="1"/>
    <xf numFmtId="0" fontId="1" fillId="0" borderId="17" xfId="0" applyFont="1" applyBorder="1"/>
    <xf numFmtId="2" fontId="1" fillId="0" borderId="18" xfId="0" applyNumberFormat="1" applyFont="1" applyBorder="1"/>
    <xf numFmtId="2" fontId="1" fillId="0" borderId="19" xfId="0" applyNumberFormat="1" applyFont="1" applyBorder="1"/>
    <xf numFmtId="2" fontId="1" fillId="0" borderId="20" xfId="0" applyNumberFormat="1" applyFont="1" applyBorder="1"/>
    <xf numFmtId="2" fontId="2" fillId="0" borderId="13" xfId="0" applyNumberFormat="1" applyFont="1" applyBorder="1"/>
    <xf numFmtId="2" fontId="1" fillId="0" borderId="21" xfId="0" applyNumberFormat="1" applyFont="1" applyBorder="1"/>
    <xf numFmtId="2" fontId="1" fillId="0" borderId="13" xfId="0" applyNumberFormat="1" applyFont="1" applyBorder="1"/>
    <xf numFmtId="2" fontId="2" fillId="0" borderId="0" xfId="0" applyNumberFormat="1" applyFont="1"/>
    <xf numFmtId="0" fontId="3" fillId="0" borderId="17" xfId="0" applyFont="1" applyBorder="1"/>
    <xf numFmtId="2" fontId="1" fillId="0" borderId="22" xfId="0" applyNumberFormat="1" applyFont="1" applyBorder="1"/>
    <xf numFmtId="0" fontId="1" fillId="0" borderId="3" xfId="0" applyFont="1" applyBorder="1" applyAlignment="1">
      <alignment wrapText="1"/>
    </xf>
    <xf numFmtId="0" fontId="4" fillId="0" borderId="3" xfId="0" applyFont="1" applyBorder="1"/>
    <xf numFmtId="2" fontId="3" fillId="2" borderId="10" xfId="0" applyNumberFormat="1" applyFont="1" applyFill="1" applyBorder="1"/>
    <xf numFmtId="0" fontId="1" fillId="0" borderId="23" xfId="0" applyFont="1" applyBorder="1"/>
    <xf numFmtId="2" fontId="1" fillId="2" borderId="3" xfId="0" applyNumberFormat="1" applyFont="1" applyFill="1" applyBorder="1" applyAlignment="1">
      <alignment wrapText="1"/>
    </xf>
    <xf numFmtId="2" fontId="1" fillId="3" borderId="3" xfId="0" applyNumberFormat="1" applyFont="1" applyFill="1" applyBorder="1"/>
    <xf numFmtId="2" fontId="1" fillId="0" borderId="17" xfId="0" applyNumberFormat="1" applyFont="1" applyBorder="1"/>
    <xf numFmtId="2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2" fontId="1" fillId="0" borderId="10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/>
    <xf numFmtId="0" fontId="1" fillId="0" borderId="7" xfId="0" applyFont="1" applyBorder="1"/>
    <xf numFmtId="2" fontId="1" fillId="2" borderId="0" xfId="0" applyNumberFormat="1" applyFont="1" applyFill="1"/>
    <xf numFmtId="2" fontId="1" fillId="3" borderId="0" xfId="0" applyNumberFormat="1" applyFont="1" applyFill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1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5.857142857142858" customWidth="1"/>
    <col min="2" max="2" width="13.428571428571429" customWidth="1"/>
    <col min="3" max="3" width="12.857142857142858" customWidth="1"/>
    <col min="4" max="16" width="11.428571428571429" customWidth="1"/>
    <col min="17" max="20" width="13.428571428571429" customWidth="1"/>
    <col min="21" max="22" width="11.428571428571429" customWidth="1"/>
    <col min="23" max="31" width="13.571428571428571" customWidth="1"/>
  </cols>
  <sheetData>
    <row r="1" spans="1:20" x14ac:dyDescent="0.25">
      <c r="A1" s="1" t="s">
        <v>0</v>
      </c>
      <c r="B1" s="2" t="s">
        <v>1</v>
      </c>
      <c r="C1" s="3" t="s">
        <v>2</v>
      </c>
      <c r="D1" s="4">
        <v>-645.8</v>
      </c>
      <c r="E1" s="5"/>
      <c r="F1" s="5"/>
      <c r="G1" s="5"/>
      <c r="H1" s="5"/>
      <c r="I1" s="5"/>
      <c r="J1" s="5"/>
      <c r="K1" s="5"/>
      <c r="L1" s="5"/>
      <c r="M1" s="5"/>
      <c r="O1" s="5"/>
      <c r="P1" s="5"/>
      <c r="Q1" s="5"/>
      <c r="R1" s="5">
        <v>2024</v>
      </c>
      <c r="S1" s="5"/>
      <c r="T1" s="5">
        <v>2023</v>
      </c>
    </row>
    <row r="2" spans="1:28" x14ac:dyDescent="0.25">
      <c r="A2" s="6"/>
      <c r="B2" s="7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9" t="s">
        <v>14</v>
      </c>
      <c r="N2" s="10"/>
      <c r="O2" s="11" t="s">
        <v>15</v>
      </c>
      <c r="P2" s="5" t="s">
        <v>16</v>
      </c>
      <c r="Q2" s="5"/>
      <c r="R2" s="5"/>
      <c r="S2" s="5"/>
      <c r="T2" s="5" t="s">
        <v>15</v>
      </c>
      <c r="U2" s="5" t="s">
        <v>16</v>
      </c>
      <c r="V2" s="5"/>
      <c r="AB2" s="12" t="s">
        <v>17</v>
      </c>
    </row>
    <row r="3" spans="1:28" x14ac:dyDescent="0.25">
      <c r="A3" s="6"/>
      <c r="B3" s="13"/>
      <c r="C3" s="14"/>
      <c r="D3" s="14"/>
      <c r="E3" s="14"/>
      <c r="F3" s="14"/>
      <c r="G3" s="15"/>
      <c r="H3" s="15"/>
      <c r="I3" s="15"/>
      <c r="J3" s="15"/>
      <c r="K3" s="15"/>
      <c r="L3" s="15"/>
      <c r="M3" s="16"/>
      <c r="N3" s="17"/>
      <c r="O3" s="5"/>
      <c r="P3" s="5"/>
      <c r="Q3" s="5">
        <v>2024</v>
      </c>
      <c r="R3" s="5"/>
      <c r="S3" s="5"/>
      <c r="T3" s="5"/>
      <c r="U3" s="5"/>
      <c r="V3" s="5">
        <v>2023</v>
      </c>
      <c r="Z3" s="18"/>
      <c r="AB3" s="19">
        <f>27.6+1.6</f>
      </c>
    </row>
    <row r="4" spans="1:28" x14ac:dyDescent="0.25">
      <c r="A4" s="6" t="s">
        <v>18</v>
      </c>
      <c r="B4" s="20">
        <f>1145.36+73.74+81.32-332.43</f>
      </c>
      <c r="C4" s="20">
        <f>1145.36+73.74+81.32-332.43</f>
      </c>
      <c r="D4" s="20">
        <f>1145.36+73.74+81.32-332.43</f>
      </c>
      <c r="E4" s="20">
        <f>1145.36+73.74+81.32-332.43</f>
      </c>
      <c r="F4" s="20">
        <f>1145.36+73.74+81.32-332.43</f>
      </c>
      <c r="G4" s="20">
        <f>1145.36+73.74+81.32-332.43</f>
      </c>
      <c r="H4" s="20">
        <f>1145.36+73.74+81.32-332.43</f>
      </c>
      <c r="I4" s="20">
        <f>1145.36+73.74+81.32-332.43</f>
      </c>
      <c r="J4" s="20">
        <f>1145.36+73.74+81.32-332.43</f>
      </c>
      <c r="K4" s="20">
        <f>1145.36+73.74+81.32-332.43</f>
      </c>
      <c r="L4" s="20">
        <f>1145.36+73.74+81.32-332.43</f>
      </c>
      <c r="M4" s="20">
        <f>1145.36+73.74+81.32-332.43</f>
      </c>
      <c r="N4" s="5" t="s">
        <v>18</v>
      </c>
      <c r="O4" s="5">
        <f>SUM(B4:M4)</f>
      </c>
      <c r="P4" s="11">
        <f>AVERAGE(B4:M4)</f>
      </c>
      <c r="Q4" s="5">
        <f>O4/52</f>
      </c>
      <c r="R4" s="5">
        <v>19413.95</v>
      </c>
      <c r="S4" s="5">
        <v>1617.8291666666667</v>
      </c>
      <c r="T4" s="5">
        <v>12993.480000000003</v>
      </c>
      <c r="U4" s="11">
        <v>1082.7900000000002</v>
      </c>
      <c r="V4" s="5">
        <v>249.87461538461545</v>
      </c>
      <c r="AB4" s="21">
        <v>57.11</v>
      </c>
    </row>
    <row r="5" spans="1:28" x14ac:dyDescent="0.25">
      <c r="A5" s="6" t="s">
        <v>19</v>
      </c>
      <c r="B5" s="20">
        <v>76.09</v>
      </c>
      <c r="C5" s="20">
        <v>76.09</v>
      </c>
      <c r="D5" s="20">
        <v>148.67</v>
      </c>
      <c r="E5" s="20">
        <v>148.67</v>
      </c>
      <c r="F5" s="20">
        <v>148.67</v>
      </c>
      <c r="G5" s="20">
        <v>148.67</v>
      </c>
      <c r="H5" s="20">
        <v>148.67</v>
      </c>
      <c r="I5" s="15">
        <v>148.67</v>
      </c>
      <c r="J5" s="15">
        <v>148.67</v>
      </c>
      <c r="K5" s="15">
        <v>148.67</v>
      </c>
      <c r="L5" s="15">
        <f>'2025'!L58+'2025'!M58+'2026'!B54+'2026'!C54+'2026'!D54+'2026'!E54+2.8</f>
      </c>
      <c r="M5" s="15">
        <v>148.67</v>
      </c>
      <c r="N5" s="5" t="s">
        <v>19</v>
      </c>
      <c r="O5" s="5">
        <f>SUM(B5:M5)</f>
      </c>
      <c r="P5" s="11">
        <f>AVERAGE(B5:M5)</f>
      </c>
      <c r="Q5" s="5">
        <f>O5/52</f>
      </c>
      <c r="R5" s="5">
        <v>779.0999999999998</v>
      </c>
      <c r="S5" s="5">
        <v>64.92499999999998</v>
      </c>
      <c r="T5" s="5">
        <v>565.4500000000002</v>
      </c>
      <c r="U5" s="11">
        <v>47.120833333333344</v>
      </c>
      <c r="V5" s="5">
        <v>10.874038461538465</v>
      </c>
      <c r="AB5" s="21">
        <v>22.4</v>
      </c>
    </row>
    <row r="6" spans="1:28" x14ac:dyDescent="0.25">
      <c r="A6" s="6" t="s">
        <v>20</v>
      </c>
      <c r="B6" s="22">
        <v>55</v>
      </c>
      <c r="C6" s="22">
        <v>55</v>
      </c>
      <c r="D6" s="22">
        <v>55</v>
      </c>
      <c r="E6" s="22">
        <v>101</v>
      </c>
      <c r="F6" s="22">
        <f>99.4</f>
      </c>
      <c r="G6" s="22">
        <v>57</v>
      </c>
      <c r="H6" s="23">
        <v>80</v>
      </c>
      <c r="I6" s="23">
        <v>80</v>
      </c>
      <c r="J6" s="23">
        <v>80</v>
      </c>
      <c r="K6" s="23">
        <v>80</v>
      </c>
      <c r="L6" s="23">
        <v>80</v>
      </c>
      <c r="M6" s="15">
        <v>80</v>
      </c>
      <c r="N6" s="5" t="s">
        <v>20</v>
      </c>
      <c r="O6" s="5">
        <f>SUM(B6:M6)</f>
      </c>
      <c r="P6" s="11">
        <f>AVERAGE(B6:M6)</f>
      </c>
      <c r="Q6" s="5">
        <f>O6/52</f>
      </c>
      <c r="R6" s="5">
        <v>1212</v>
      </c>
      <c r="S6" s="5">
        <v>101</v>
      </c>
      <c r="T6" s="5">
        <v>965.7</v>
      </c>
      <c r="U6" s="11">
        <v>80.47500000000001</v>
      </c>
      <c r="V6" s="5">
        <v>18.571153846153848</v>
      </c>
      <c r="AB6" s="21">
        <v>12.2</v>
      </c>
    </row>
    <row r="7" spans="1:28" x14ac:dyDescent="0.25">
      <c r="A7" s="6" t="s">
        <v>21</v>
      </c>
      <c r="B7" s="22">
        <f>7</f>
      </c>
      <c r="C7" s="22">
        <f>48</f>
      </c>
      <c r="D7" s="22">
        <v>0</v>
      </c>
      <c r="E7" s="22">
        <v>15.82</v>
      </c>
      <c r="F7" s="22">
        <v>0</v>
      </c>
      <c r="G7" s="22">
        <v>0</v>
      </c>
      <c r="H7" s="22">
        <f>6.94</f>
      </c>
      <c r="I7" s="22">
        <v>0</v>
      </c>
      <c r="J7" s="22">
        <v>0</v>
      </c>
      <c r="K7" s="22">
        <v>0</v>
      </c>
      <c r="L7" s="22">
        <v>0</v>
      </c>
      <c r="M7" s="15">
        <v>150</v>
      </c>
      <c r="N7" s="5" t="s">
        <v>21</v>
      </c>
      <c r="O7" s="5">
        <f>SUM(B7:M7)</f>
      </c>
      <c r="P7" s="11">
        <f>AVERAGE(B7:M7)</f>
      </c>
      <c r="Q7" s="5">
        <f>O7/52</f>
      </c>
      <c r="R7" s="5">
        <v>253.19999999999996</v>
      </c>
      <c r="S7" s="5">
        <v>21.099999999999998</v>
      </c>
      <c r="T7" s="5">
        <v>211.97000000000003</v>
      </c>
      <c r="U7" s="11">
        <v>17.66416666666667</v>
      </c>
      <c r="V7" s="5">
        <v>4.0763461538461545</v>
      </c>
      <c r="AB7" s="21">
        <v>26.2</v>
      </c>
    </row>
    <row r="8" spans="1:28" x14ac:dyDescent="0.25">
      <c r="A8" s="6" t="s">
        <v>22</v>
      </c>
      <c r="B8" s="20">
        <v>65.98</v>
      </c>
      <c r="C8" s="20">
        <v>65.98</v>
      </c>
      <c r="D8" s="20">
        <v>65.98</v>
      </c>
      <c r="E8" s="20">
        <v>65.98</v>
      </c>
      <c r="F8" s="20">
        <v>65.98</v>
      </c>
      <c r="G8" s="20">
        <v>65.98</v>
      </c>
      <c r="H8" s="20">
        <v>65.98</v>
      </c>
      <c r="I8" s="15">
        <v>65.98</v>
      </c>
      <c r="J8" s="15">
        <v>65.98</v>
      </c>
      <c r="K8" s="15">
        <v>65.98</v>
      </c>
      <c r="L8" s="15">
        <v>65.98</v>
      </c>
      <c r="M8" s="15">
        <v>65.98</v>
      </c>
      <c r="N8" s="5" t="s">
        <v>22</v>
      </c>
      <c r="O8" s="5">
        <f>SUM(B8:M8)</f>
      </c>
      <c r="P8" s="11">
        <f>AVERAGE(B8:M8)</f>
      </c>
      <c r="Q8" s="5">
        <f>O8/52</f>
      </c>
      <c r="R8" s="5">
        <v>640.38</v>
      </c>
      <c r="S8" s="5">
        <v>53.365</v>
      </c>
      <c r="T8" s="5">
        <v>579.88</v>
      </c>
      <c r="U8" s="5">
        <v>48.32333333333333</v>
      </c>
      <c r="V8" s="5">
        <v>11.151538461538461</v>
      </c>
      <c r="AB8" s="21">
        <v>55.68</v>
      </c>
    </row>
    <row r="9" spans="1:28" x14ac:dyDescent="0.25">
      <c r="A9" s="6" t="s">
        <v>23</v>
      </c>
      <c r="B9" s="24">
        <f>67.97+120.22</f>
      </c>
      <c r="C9" s="24">
        <f>67.81+120.22</f>
      </c>
      <c r="D9" s="24">
        <f>67.81+120.22</f>
      </c>
      <c r="E9" s="24">
        <f>67.81+128.08</f>
      </c>
      <c r="F9" s="24">
        <f>67.81+128.11</f>
      </c>
      <c r="G9" s="24">
        <f>67.81+128.11</f>
      </c>
      <c r="H9" s="24">
        <f>67.81+128.11</f>
      </c>
      <c r="I9" s="11">
        <f>67.97+145</f>
      </c>
      <c r="J9" s="11">
        <f>67.97+145</f>
      </c>
      <c r="K9" s="11">
        <f>67.97+145</f>
      </c>
      <c r="L9" s="11">
        <f>67.97+145</f>
      </c>
      <c r="M9" s="15">
        <f>67.97+145</f>
      </c>
      <c r="N9" s="5" t="s">
        <v>23</v>
      </c>
      <c r="O9" s="5">
        <f>SUM(B9:M9)</f>
      </c>
      <c r="P9" s="11">
        <f>AVERAGE(B9:M9)</f>
      </c>
      <c r="Q9" s="5">
        <f>O9/52</f>
      </c>
      <c r="R9" s="5">
        <v>1868.6300000000003</v>
      </c>
      <c r="S9" s="5">
        <v>155.7191666666667</v>
      </c>
      <c r="T9" s="5">
        <v>2150.1800000000003</v>
      </c>
      <c r="U9" s="11">
        <v>179.1816666666667</v>
      </c>
      <c r="V9" s="5">
        <v>41.34961538461539</v>
      </c>
      <c r="AB9" s="25">
        <f>SUM(AB3:AB8)</f>
      </c>
    </row>
    <row r="10" spans="1:22" x14ac:dyDescent="0.25">
      <c r="A10" s="6" t="s">
        <v>24</v>
      </c>
      <c r="B10" s="24">
        <f>64.19+83.9</f>
      </c>
      <c r="C10" s="24">
        <v>0</v>
      </c>
      <c r="D10" s="24">
        <f>D59</f>
      </c>
      <c r="E10" s="24">
        <f>E59</f>
      </c>
      <c r="F10" s="24">
        <f>F59</f>
      </c>
      <c r="G10" s="24">
        <f>G59</f>
      </c>
      <c r="H10" s="26">
        <f>0</f>
      </c>
      <c r="I10" s="11">
        <f>I59</f>
      </c>
      <c r="J10" s="11">
        <f>J59</f>
      </c>
      <c r="K10" s="11">
        <f>K59</f>
      </c>
      <c r="L10" s="11">
        <f>L59</f>
      </c>
      <c r="M10" s="11">
        <f>M59</f>
      </c>
      <c r="N10" s="5" t="s">
        <v>25</v>
      </c>
      <c r="O10" s="5">
        <f>SUM(B10:M10)</f>
      </c>
      <c r="P10" s="11">
        <f>AVERAGE(B10:M10)</f>
      </c>
      <c r="Q10" s="5">
        <f>O10/52</f>
      </c>
      <c r="R10" s="5">
        <v>717.28</v>
      </c>
      <c r="S10" s="5">
        <v>59.77333333333333</v>
      </c>
      <c r="T10" s="5">
        <v>1207.3500000000001</v>
      </c>
      <c r="U10" s="11">
        <v>100.61250000000001</v>
      </c>
      <c r="V10" s="5">
        <v>23.218269230769234</v>
      </c>
    </row>
    <row r="11" spans="1:26" x14ac:dyDescent="0.25">
      <c r="A11" s="6" t="s">
        <v>26</v>
      </c>
      <c r="B11" s="24">
        <f>71.25</f>
      </c>
      <c r="C11" s="24">
        <f>70.64</f>
      </c>
      <c r="D11" s="24">
        <f>70.03</f>
      </c>
      <c r="E11" s="24">
        <f>75.31+85.61</f>
      </c>
      <c r="F11" s="24">
        <f>109.45+84.93</f>
      </c>
      <c r="G11" s="24">
        <f>79.45</f>
      </c>
      <c r="H11" s="24">
        <f>79.92+83.15</f>
      </c>
      <c r="I11" s="24">
        <f>85.29</f>
      </c>
      <c r="J11" s="11">
        <v>140</v>
      </c>
      <c r="K11" s="11">
        <v>140</v>
      </c>
      <c r="L11" s="11">
        <v>140</v>
      </c>
      <c r="M11" s="8">
        <v>140</v>
      </c>
      <c r="N11" s="5" t="s">
        <v>26</v>
      </c>
      <c r="O11" s="5">
        <f>SUM(B11:M11)</f>
      </c>
      <c r="P11" s="11">
        <f>AVERAGE(B11:M11)</f>
      </c>
      <c r="Q11" s="5"/>
      <c r="R11" s="5">
        <v>1726.18</v>
      </c>
      <c r="S11" s="5">
        <v>143.84833333333333</v>
      </c>
      <c r="T11" s="5">
        <v>1703.3600000000001</v>
      </c>
      <c r="U11" s="11">
        <v>141.9466666666667</v>
      </c>
      <c r="V11" s="5"/>
      <c r="Y11" s="5"/>
      <c r="Z11" s="5"/>
    </row>
    <row r="12" spans="1:22" x14ac:dyDescent="0.25">
      <c r="A12" s="19" t="s">
        <v>27</v>
      </c>
      <c r="B12" s="27">
        <v>200</v>
      </c>
      <c r="C12" s="27">
        <v>200</v>
      </c>
      <c r="D12" s="27">
        <f>D53</f>
      </c>
      <c r="E12" s="27">
        <v>100</v>
      </c>
      <c r="F12" s="27">
        <f>F53</f>
      </c>
      <c r="G12" s="27">
        <v>300</v>
      </c>
      <c r="H12" s="28">
        <v>300</v>
      </c>
      <c r="I12" s="14">
        <v>300</v>
      </c>
      <c r="J12" s="14">
        <v>300</v>
      </c>
      <c r="K12" s="14">
        <v>300</v>
      </c>
      <c r="L12" s="14">
        <v>300</v>
      </c>
      <c r="M12" s="14">
        <v>300</v>
      </c>
      <c r="N12" s="5" t="s">
        <v>27</v>
      </c>
      <c r="O12" s="13">
        <f>SUM(B12:M12)</f>
      </c>
      <c r="P12" s="29">
        <f>AVERAGE(B12:M12)</f>
      </c>
      <c r="Q12" s="5">
        <f>O12/52</f>
      </c>
      <c r="R12" s="5">
        <v>2160</v>
      </c>
      <c r="S12" s="5">
        <v>180</v>
      </c>
      <c r="T12" s="5">
        <v>1999</v>
      </c>
      <c r="U12" s="29">
        <v>166.58333333333334</v>
      </c>
      <c r="V12" s="5">
        <v>38.44230769230769</v>
      </c>
    </row>
    <row r="13" spans="1:22" x14ac:dyDescent="0.25">
      <c r="A13" s="6" t="s">
        <v>28</v>
      </c>
      <c r="B13" s="22">
        <f>B49</f>
      </c>
      <c r="C13" s="22">
        <f>C49</f>
      </c>
      <c r="D13" s="22">
        <f>D49</f>
      </c>
      <c r="E13" s="22">
        <f>E49</f>
      </c>
      <c r="F13" s="22">
        <f>F49</f>
      </c>
      <c r="G13" s="22">
        <f>G49</f>
      </c>
      <c r="H13" s="22">
        <f>H49</f>
      </c>
      <c r="I13" s="22">
        <f>I49</f>
      </c>
      <c r="J13" s="22">
        <f>J49</f>
      </c>
      <c r="K13" s="22">
        <f>K49</f>
      </c>
      <c r="L13" s="22">
        <f>L49</f>
      </c>
      <c r="M13" s="22">
        <f>M49</f>
      </c>
      <c r="N13" s="5" t="s">
        <v>28</v>
      </c>
      <c r="O13" s="5">
        <f>SUM(B13:M13)</f>
      </c>
      <c r="P13" s="11">
        <f>AVERAGE(B13:M13)</f>
      </c>
      <c r="Q13" s="5">
        <f>O13/52</f>
      </c>
      <c r="R13" s="5">
        <v>10400.3</v>
      </c>
      <c r="S13" s="5">
        <v>866.6916666666666</v>
      </c>
      <c r="T13" s="5">
        <v>10552.78</v>
      </c>
      <c r="U13" s="11">
        <v>879.3983333333334</v>
      </c>
      <c r="V13" s="5">
        <v>202.93807692307695</v>
      </c>
    </row>
    <row r="14" spans="1:22" x14ac:dyDescent="0.25">
      <c r="A14" s="6" t="s">
        <v>29</v>
      </c>
      <c r="B14" s="30">
        <f>64+73.2+159.18</f>
      </c>
      <c r="C14" s="30">
        <f>32+109.2</f>
      </c>
      <c r="D14" s="30">
        <f>64.2+72</f>
      </c>
      <c r="E14" s="30">
        <f>98.1+36</f>
      </c>
      <c r="F14" s="30">
        <f>53.7+32+132.65</f>
      </c>
      <c r="G14" s="30">
        <f>39.6+56</f>
      </c>
      <c r="H14" s="31">
        <v>180</v>
      </c>
      <c r="I14" s="31">
        <v>180</v>
      </c>
      <c r="J14" s="31">
        <v>180</v>
      </c>
      <c r="K14" s="31">
        <v>180</v>
      </c>
      <c r="L14" s="31">
        <v>180</v>
      </c>
      <c r="M14" s="31">
        <v>180</v>
      </c>
      <c r="N14" s="5" t="s">
        <v>29</v>
      </c>
      <c r="O14" s="5">
        <f>SUM(B14:M14)</f>
      </c>
      <c r="P14" s="11">
        <f>AVERAGE(B14:M14)</f>
      </c>
      <c r="Q14" s="5">
        <f>O14/52</f>
      </c>
      <c r="R14" s="5">
        <v>2361.85</v>
      </c>
      <c r="S14" s="5">
        <v>196.82083333333333</v>
      </c>
      <c r="T14" s="5">
        <v>2644.1800000000003</v>
      </c>
      <c r="U14" s="11">
        <v>220.34833333333336</v>
      </c>
      <c r="V14" s="5">
        <v>50.84961538461539</v>
      </c>
    </row>
    <row r="15" spans="1:22" x14ac:dyDescent="0.25">
      <c r="A15" s="6" t="s">
        <v>30</v>
      </c>
      <c r="B15" s="20">
        <v>100</v>
      </c>
      <c r="C15" s="20">
        <v>0</v>
      </c>
      <c r="D15" s="20">
        <f>39.27+D54</f>
      </c>
      <c r="E15" s="20">
        <f>39.27+E54+39.27</f>
      </c>
      <c r="F15" s="20">
        <f>39.27+F54</f>
      </c>
      <c r="G15" s="20">
        <f>39.27+G54</f>
      </c>
      <c r="H15" s="20">
        <f>39.27+H54</f>
      </c>
      <c r="I15" s="15">
        <f>39.27+I54</f>
      </c>
      <c r="J15" s="15">
        <f>39.27+J54</f>
      </c>
      <c r="K15" s="15">
        <f>39.27+K54</f>
      </c>
      <c r="L15" s="15">
        <f>39.27+L54</f>
      </c>
      <c r="M15" s="15">
        <f>39.27+M54</f>
      </c>
      <c r="N15" s="5" t="s">
        <v>30</v>
      </c>
      <c r="O15" s="5">
        <f>SUM(B15:M15)</f>
      </c>
      <c r="P15" s="11">
        <f>AVERAGE(B15:M15)</f>
      </c>
      <c r="Q15" s="5">
        <f>O15/52</f>
      </c>
      <c r="R15" s="5">
        <v>5939.116399999999</v>
      </c>
      <c r="S15" s="5">
        <v>494.9263666666666</v>
      </c>
      <c r="T15" s="5">
        <v>5375.71</v>
      </c>
      <c r="U15" s="11">
        <v>447.97583333333336</v>
      </c>
      <c r="V15" s="5">
        <v>103.37903846153846</v>
      </c>
    </row>
    <row r="16" spans="1:22" x14ac:dyDescent="0.25">
      <c r="A16" s="6" t="s">
        <v>31</v>
      </c>
      <c r="B16" s="20">
        <f>B57+15+5</f>
      </c>
      <c r="C16" s="20">
        <f>150+15+5</f>
      </c>
      <c r="D16" s="20">
        <f>100+15+5+D57+20</f>
      </c>
      <c r="E16" s="20">
        <f>126.74+15+5+E57+110</f>
      </c>
      <c r="F16" s="20">
        <f>126+25+5+F57+5</f>
      </c>
      <c r="G16" s="20">
        <f>126+15+5+G57+60+10+110</f>
      </c>
      <c r="H16" s="20">
        <f>126.74+15+5+H57+120</f>
      </c>
      <c r="I16" s="15">
        <f>126.74+15+5+I57+70+24.7</f>
      </c>
      <c r="J16" s="15">
        <f>126.74+15+5+J57</f>
      </c>
      <c r="K16" s="15">
        <f>126.74+15+5+K57</f>
      </c>
      <c r="L16" s="15">
        <f>126.74+15+5+L57</f>
      </c>
      <c r="M16" s="15">
        <f>126.74+15+5+M57</f>
      </c>
      <c r="N16" s="5" t="s">
        <v>31</v>
      </c>
      <c r="O16" s="5">
        <f>SUM(B16:M16)</f>
      </c>
      <c r="P16" s="11">
        <f>AVERAGE(B16:M16)</f>
      </c>
      <c r="Q16" s="5">
        <f>O16/52</f>
      </c>
      <c r="R16" s="5">
        <v>1801.0900000000001</v>
      </c>
      <c r="S16" s="5">
        <v>150.09083333333334</v>
      </c>
      <c r="T16" s="5">
        <v>1431.35</v>
      </c>
      <c r="U16" s="11">
        <v>119.27916666666665</v>
      </c>
      <c r="V16" s="5">
        <v>27.525961538461537</v>
      </c>
    </row>
    <row r="17" spans="1:22" x14ac:dyDescent="0.25">
      <c r="A17" s="6" t="s">
        <v>32</v>
      </c>
      <c r="B17" s="22">
        <f>B42</f>
      </c>
      <c r="C17" s="22">
        <f>C42</f>
      </c>
      <c r="D17" s="22">
        <f>D42</f>
      </c>
      <c r="E17" s="22">
        <f>E42</f>
      </c>
      <c r="F17" s="22">
        <v>562</v>
      </c>
      <c r="G17" s="22">
        <f>G42</f>
      </c>
      <c r="H17" s="22">
        <f>H42</f>
      </c>
      <c r="I17" s="22">
        <f>I42</f>
      </c>
      <c r="J17" s="22">
        <f>J42</f>
      </c>
      <c r="K17" s="22">
        <f>K42</f>
      </c>
      <c r="L17" s="22">
        <f>L42</f>
      </c>
      <c r="M17" s="22">
        <f>M42</f>
      </c>
      <c r="N17" s="5" t="s">
        <v>32</v>
      </c>
      <c r="O17" s="5">
        <f>SUM(B17:M17)</f>
      </c>
      <c r="P17" s="11">
        <f>AVERAGE(B17:M17)</f>
      </c>
      <c r="Q17" s="5">
        <f>O17/52</f>
      </c>
      <c r="R17" s="5">
        <v>7207.7110494</v>
      </c>
      <c r="S17" s="5">
        <v>600.64258745</v>
      </c>
      <c r="T17" s="5">
        <v>7958.990000000001</v>
      </c>
      <c r="U17" s="11">
        <v>663.2491666666667</v>
      </c>
      <c r="V17" s="5">
        <v>153.0575</v>
      </c>
    </row>
    <row r="18" spans="1:21" x14ac:dyDescent="0.25">
      <c r="A18" s="6" t="s">
        <v>33</v>
      </c>
      <c r="B18" s="20">
        <v>100</v>
      </c>
      <c r="C18" s="20">
        <f>101.99</f>
      </c>
      <c r="D18" s="20">
        <f>8.99+47+D58-30</f>
      </c>
      <c r="E18" s="20">
        <f>E58+12.9+26.9+38.94+17</f>
      </c>
      <c r="F18" s="20">
        <f>117.9+8.58-29.99+24.9+117.96+33.67</f>
      </c>
      <c r="G18" s="20">
        <f>61.21+87.41+13.95+136.79</f>
      </c>
      <c r="H18" s="32">
        <f>126.88+204.44+26.57+119+74.89-122+55.17+3.5</f>
      </c>
      <c r="I18" s="15">
        <v>100</v>
      </c>
      <c r="J18" s="15">
        <v>100</v>
      </c>
      <c r="K18" s="15">
        <v>100</v>
      </c>
      <c r="L18" s="15">
        <v>100</v>
      </c>
      <c r="M18" s="15">
        <v>100</v>
      </c>
      <c r="N18" s="5"/>
      <c r="O18" s="5">
        <f>SUM(B18:M18)</f>
      </c>
      <c r="P18" s="11">
        <f>AVERAGE(B18:M18)</f>
      </c>
      <c r="Q18" s="5"/>
      <c r="R18" s="5"/>
      <c r="S18" s="5"/>
      <c r="T18" s="5"/>
      <c r="U18" s="11"/>
    </row>
    <row r="19" spans="1:22" x14ac:dyDescent="0.25">
      <c r="A19" s="6" t="s">
        <v>34</v>
      </c>
      <c r="B19" s="20">
        <v>100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5"/>
      <c r="O19" s="5">
        <f>SUM(B19:M19)</f>
      </c>
      <c r="P19" s="11">
        <f>AVERAGE(B19:M19)</f>
      </c>
      <c r="Q19" s="5">
        <f>O19/52</f>
      </c>
      <c r="R19" s="5">
        <v>572.24</v>
      </c>
      <c r="S19" s="5">
        <v>47.68666666666667</v>
      </c>
      <c r="T19" s="5">
        <v>1035.3400000000001</v>
      </c>
      <c r="U19" s="11">
        <v>86.27833333333335</v>
      </c>
      <c r="V19" s="5">
        <v>19.91038461538462</v>
      </c>
    </row>
    <row r="20" spans="1:22" x14ac:dyDescent="0.25">
      <c r="A20" s="33" t="s">
        <v>35</v>
      </c>
      <c r="B20" s="34">
        <f>SUM(B4:B19)-B14+'2025'!M15</f>
      </c>
      <c r="C20" s="34">
        <f>SUM(C4:C19)-C14+B14</f>
      </c>
      <c r="D20" s="34">
        <f>SUM(D4:D19)-D14+C14</f>
      </c>
      <c r="E20" s="34">
        <f>SUM(E4:E19)-E14+D14</f>
      </c>
      <c r="F20" s="34">
        <f>SUM(F4:F19)-F14+E14</f>
      </c>
      <c r="G20" s="34">
        <f>SUM(G4:G19)-G14+F14</f>
      </c>
      <c r="H20" s="35">
        <f>SUM(H4:H19)-H14+G14</f>
      </c>
      <c r="I20" s="35">
        <f>SUM(I4:I19)-I14+H14</f>
      </c>
      <c r="J20" s="35">
        <f>SUM(J4:J19)-J14+I14</f>
      </c>
      <c r="K20" s="35">
        <f>SUM(K4:K19)-K14+J14</f>
      </c>
      <c r="L20" s="35">
        <f>SUM(L4:L19)-L14+K14</f>
      </c>
      <c r="M20" s="35">
        <f>SUM(M4:M19)-M14+L14</f>
      </c>
      <c r="N20" s="5" t="s">
        <v>35</v>
      </c>
      <c r="O20" s="5">
        <f>SUM(B20:M20)</f>
      </c>
      <c r="P20" s="11">
        <f>AVERAGE(B20:M20)</f>
      </c>
      <c r="Q20" s="5">
        <f>O20/52</f>
      </c>
      <c r="R20" s="5">
        <v>60933.277449400004</v>
      </c>
      <c r="S20" s="5">
        <v>5077.773120783334</v>
      </c>
      <c r="T20" s="5">
        <v>55149.46</v>
      </c>
      <c r="U20" s="11">
        <v>4595.788333333333</v>
      </c>
      <c r="V20" s="5">
        <v>1060.5665384615384</v>
      </c>
    </row>
    <row r="21" spans="1:22" x14ac:dyDescent="0.25">
      <c r="A21" s="36" t="s">
        <v>36</v>
      </c>
      <c r="B21" s="37">
        <v>5600</v>
      </c>
      <c r="C21" s="37">
        <v>5601</v>
      </c>
      <c r="D21" s="37">
        <v>5602</v>
      </c>
      <c r="E21" s="37">
        <v>5603</v>
      </c>
      <c r="F21" s="37">
        <v>5604</v>
      </c>
      <c r="G21" s="37">
        <v>5605</v>
      </c>
      <c r="H21" s="37">
        <v>5606</v>
      </c>
      <c r="I21" s="37">
        <v>5607</v>
      </c>
      <c r="J21" s="37">
        <v>5608</v>
      </c>
      <c r="K21" s="37">
        <v>5609</v>
      </c>
      <c r="L21" s="37">
        <v>5610</v>
      </c>
      <c r="M21" s="37">
        <v>5611</v>
      </c>
      <c r="N21" s="5" t="s">
        <v>36</v>
      </c>
      <c r="O21" s="5">
        <f>SUM(B21:M21)</f>
      </c>
      <c r="P21" s="11">
        <f>AVERAGE(B21:M21)</f>
      </c>
      <c r="Q21" s="5">
        <f>O21/52</f>
      </c>
      <c r="R21" s="5">
        <v>23300</v>
      </c>
      <c r="S21" s="5">
        <v>1941.6666666666667</v>
      </c>
      <c r="T21" s="5">
        <v>24100</v>
      </c>
      <c r="U21" s="11">
        <v>2008.3333333333333</v>
      </c>
      <c r="V21" s="5">
        <v>463.46153846153845</v>
      </c>
    </row>
    <row r="22" spans="1:22" x14ac:dyDescent="0.25">
      <c r="A22" s="36" t="s">
        <v>37</v>
      </c>
      <c r="B22" s="37">
        <v>3000</v>
      </c>
      <c r="C22" s="37">
        <v>3001</v>
      </c>
      <c r="D22" s="37">
        <v>3002</v>
      </c>
      <c r="E22" s="37">
        <v>3003</v>
      </c>
      <c r="F22" s="37">
        <v>3004</v>
      </c>
      <c r="G22" s="37">
        <v>3005</v>
      </c>
      <c r="H22" s="37">
        <v>3006</v>
      </c>
      <c r="I22" s="37">
        <v>3007</v>
      </c>
      <c r="J22" s="37">
        <v>3008</v>
      </c>
      <c r="K22" s="37">
        <v>3009</v>
      </c>
      <c r="L22" s="37">
        <v>3010</v>
      </c>
      <c r="M22" s="37">
        <v>3011</v>
      </c>
      <c r="N22" s="5" t="s">
        <v>37</v>
      </c>
      <c r="O22" s="5">
        <f>SUM(B22:M22)</f>
      </c>
      <c r="P22" s="11">
        <f>AVERAGE(B22:M22)</f>
      </c>
      <c r="Q22" s="5">
        <f>O22/52</f>
      </c>
      <c r="R22" s="5">
        <v>32150</v>
      </c>
      <c r="S22" s="5">
        <v>2679.1666666666665</v>
      </c>
      <c r="T22" s="5">
        <v>29150</v>
      </c>
      <c r="U22" s="11">
        <v>2429.1666666666665</v>
      </c>
      <c r="V22" s="5">
        <v>560.5769230769231</v>
      </c>
    </row>
    <row r="23" spans="1:22" x14ac:dyDescent="0.25">
      <c r="A23" s="36" t="s">
        <v>38</v>
      </c>
      <c r="B23" s="38">
        <v>151.05</v>
      </c>
      <c r="C23" s="38">
        <v>151.05</v>
      </c>
      <c r="D23" s="38">
        <v>151.05</v>
      </c>
      <c r="E23" s="38">
        <v>151.05</v>
      </c>
      <c r="F23" s="38">
        <v>152.25</v>
      </c>
      <c r="G23" s="38">
        <v>152.25</v>
      </c>
      <c r="H23" s="38">
        <v>152.25</v>
      </c>
      <c r="I23" s="39">
        <v>151.05</v>
      </c>
      <c r="J23" s="39">
        <v>151.05</v>
      </c>
      <c r="K23" s="39">
        <v>151.05</v>
      </c>
      <c r="L23" s="39">
        <v>151.05</v>
      </c>
      <c r="M23" s="39">
        <v>151.05</v>
      </c>
      <c r="N23" s="5" t="s">
        <v>38</v>
      </c>
      <c r="O23" s="5">
        <f>SUM(B23:M23)</f>
      </c>
      <c r="P23" s="11">
        <f>AVERAGE(B23:M23)</f>
      </c>
      <c r="Q23" s="5">
        <f>O23/52</f>
      </c>
      <c r="R23" s="5">
        <v>1756.12</v>
      </c>
      <c r="S23" s="5">
        <v>146.34333333333333</v>
      </c>
      <c r="T23" s="5">
        <v>1695.2400000000002</v>
      </c>
      <c r="U23" s="11">
        <v>141.27</v>
      </c>
      <c r="V23" s="5">
        <v>32.60076923076924</v>
      </c>
    </row>
    <row r="24" spans="1:22" x14ac:dyDescent="0.25">
      <c r="A24" s="40" t="s">
        <v>39</v>
      </c>
      <c r="B24" s="41">
        <f>'2025'!M26</f>
      </c>
      <c r="C24" s="38">
        <f>B25</f>
      </c>
      <c r="D24" s="38">
        <f>C25</f>
      </c>
      <c r="E24" s="38">
        <f>D25</f>
      </c>
      <c r="F24" s="38">
        <f>E25</f>
      </c>
      <c r="G24" s="38">
        <f>F25</f>
      </c>
      <c r="H24" s="39">
        <f>G25</f>
      </c>
      <c r="I24" s="39">
        <f>H25</f>
      </c>
      <c r="J24" s="39">
        <f>I25</f>
      </c>
      <c r="K24" s="39">
        <f>J25</f>
      </c>
      <c r="L24" s="39">
        <f>K25</f>
      </c>
      <c r="M24" s="42">
        <f>L25</f>
      </c>
      <c r="N24" s="5" t="s">
        <v>39</v>
      </c>
      <c r="O24" s="5"/>
      <c r="P24" s="11"/>
      <c r="Q24" s="5">
        <f>O24/52</f>
      </c>
      <c r="R24" s="5"/>
      <c r="S24" s="5"/>
      <c r="T24" s="5"/>
      <c r="U24" s="11"/>
      <c r="V24" s="5">
        <v>0</v>
      </c>
    </row>
    <row r="25" spans="1:22" x14ac:dyDescent="0.25">
      <c r="A25" s="43" t="s">
        <v>40</v>
      </c>
      <c r="B25" s="44">
        <f>-B20+B21+B22+B23+B24</f>
      </c>
      <c r="C25" s="44">
        <f>-C20+C21+C22+C23+C24</f>
      </c>
      <c r="D25" s="44">
        <f>-D20+D21+D22+D23+D24</f>
      </c>
      <c r="E25" s="44">
        <f>-E20+E21+E22+E23+E24</f>
      </c>
      <c r="F25" s="44">
        <f>-F20+F21+F22+F23+F24</f>
      </c>
      <c r="G25" s="44">
        <f>-G20+G21+G22+G23+G24</f>
      </c>
      <c r="H25" s="45">
        <f>-H20+H21+H22+H23+H24</f>
      </c>
      <c r="I25" s="45">
        <f>-I20+I21+I22+I23+I24</f>
      </c>
      <c r="J25" s="45">
        <f>-J20+J21+J22+J23+J24</f>
      </c>
      <c r="K25" s="45">
        <f>-K20+K21+K22+K23+K24</f>
      </c>
      <c r="L25" s="45">
        <f>-L20+L21+L22+L23+L24</f>
      </c>
      <c r="M25" s="45">
        <f>-M20+M21+M22+M23+M24</f>
      </c>
      <c r="N25" s="5" t="s">
        <v>40</v>
      </c>
      <c r="O25" s="5">
        <f>SUM(B25:M25)</f>
      </c>
      <c r="P25" s="11">
        <f>AVERAGE(B25:M25)</f>
      </c>
      <c r="Q25" s="5">
        <f>O25/52</f>
      </c>
      <c r="R25" s="5">
        <v>-34922.75829639998</v>
      </c>
      <c r="S25" s="5">
        <v>-2910.2298580333318</v>
      </c>
      <c r="T25" s="5">
        <v>-3451.6699999999914</v>
      </c>
      <c r="U25" s="11">
        <v>-287.639166666666</v>
      </c>
      <c r="V25" s="5">
        <v>-66.37826923076906</v>
      </c>
    </row>
    <row r="26" spans="1:22" x14ac:dyDescent="0.25">
      <c r="A26" s="18" t="s">
        <v>41</v>
      </c>
      <c r="B26" s="46">
        <f>B21+B22+B23</f>
      </c>
      <c r="C26" s="46">
        <f>C21+C22+C23</f>
      </c>
      <c r="D26" s="46">
        <f>D21+D22+D23</f>
      </c>
      <c r="E26" s="46">
        <f>E21+E22+E23</f>
      </c>
      <c r="F26" s="46">
        <f>F21+F22+F23</f>
      </c>
      <c r="G26" s="46">
        <f>G21+G22+G23</f>
      </c>
      <c r="H26" s="46">
        <f>H21+H22+H23</f>
      </c>
      <c r="I26" s="46">
        <f>I21+I22+I23</f>
      </c>
      <c r="J26" s="46">
        <f>J21+J22+J23</f>
      </c>
      <c r="K26" s="46">
        <f>K21+K22+K23</f>
      </c>
      <c r="L26" s="46">
        <f>L21+L22+L23</f>
      </c>
      <c r="M26" s="47">
        <f>M21+M22+M23</f>
      </c>
      <c r="N26" s="5" t="s">
        <v>41</v>
      </c>
      <c r="O26" s="5">
        <f>SUM(B26:M26)</f>
      </c>
      <c r="P26" s="11">
        <f>AVERAGE(B26:M26)</f>
      </c>
      <c r="Q26" s="5">
        <f>O26/52</f>
      </c>
      <c r="R26" s="5">
        <v>56906.120000000024</v>
      </c>
      <c r="S26" s="5">
        <v>4742.176666666669</v>
      </c>
      <c r="T26" s="5">
        <v>54645.23999999998</v>
      </c>
      <c r="U26" s="11">
        <v>4553.769999999999</v>
      </c>
      <c r="V26" s="5">
        <v>1050.8699999999997</v>
      </c>
    </row>
    <row r="27" spans="1:21" x14ac:dyDescent="0.25">
      <c r="A27" s="18" t="s">
        <v>42</v>
      </c>
      <c r="B27" s="48">
        <f>B26-B20</f>
      </c>
      <c r="C27" s="46">
        <f>C26-C20</f>
      </c>
      <c r="D27" s="46">
        <f>D26-D20</f>
      </c>
      <c r="E27" s="46">
        <f>E26-E20</f>
      </c>
      <c r="F27" s="46">
        <f>F26-F20</f>
      </c>
      <c r="G27" s="46">
        <f>G26-G20</f>
      </c>
      <c r="H27" s="46">
        <f>H26-H20</f>
      </c>
      <c r="I27" s="46">
        <f>I26-I20</f>
      </c>
      <c r="J27" s="46">
        <f>J26-J20</f>
      </c>
      <c r="K27" s="46">
        <f>K26-K20</f>
      </c>
      <c r="L27" s="46">
        <f>L26-L20</f>
      </c>
      <c r="M27" s="47">
        <f>M26-M20</f>
      </c>
      <c r="N27" s="5" t="s">
        <v>42</v>
      </c>
      <c r="O27" s="49">
        <f>O26-O20</f>
      </c>
      <c r="P27" s="49">
        <f>P26-P20</f>
      </c>
      <c r="Q27" s="5"/>
      <c r="R27" s="5">
        <v>-4027.1574493999797</v>
      </c>
      <c r="S27" s="5">
        <v>-335.596454116665</v>
      </c>
      <c r="T27" s="5">
        <v>-504.2200000000157</v>
      </c>
      <c r="U27" s="49">
        <v>-42.01833333333434</v>
      </c>
    </row>
    <row r="28" spans="1:19" x14ac:dyDescent="0.25">
      <c r="A28" s="18"/>
      <c r="B28" s="5">
        <f>-B20+B24</f>
      </c>
      <c r="C28" s="5">
        <f>-C20+C24</f>
      </c>
      <c r="D28" s="5">
        <f>-D20+D24</f>
      </c>
      <c r="E28" s="5">
        <f>-E20+E24</f>
      </c>
      <c r="F28" s="5">
        <f>-F20+F24</f>
      </c>
      <c r="G28" s="5">
        <f>-G20+G24</f>
      </c>
      <c r="H28" s="5">
        <f>-H20+H24</f>
      </c>
      <c r="I28" s="5">
        <f>-I20+I24</f>
      </c>
      <c r="J28" s="5">
        <f>-J20+J24</f>
      </c>
      <c r="K28" s="5">
        <f>-K20+K24</f>
      </c>
      <c r="L28" s="5">
        <f>-L20+L24</f>
      </c>
      <c r="M28" s="5">
        <f>-M20+M24</f>
      </c>
      <c r="N28" s="5" t="s">
        <v>43</v>
      </c>
      <c r="O28" s="5"/>
      <c r="P28" s="5"/>
      <c r="Q28" s="5"/>
      <c r="R28" s="5"/>
      <c r="S28" s="5"/>
    </row>
    <row r="29" spans="1:19" x14ac:dyDescent="0.25">
      <c r="A29" s="18"/>
      <c r="B29" s="5">
        <f>B28+B26</f>
      </c>
      <c r="C29" s="5">
        <f>C28+C26</f>
      </c>
      <c r="D29" s="5">
        <f>D28+D26</f>
      </c>
      <c r="E29" s="5">
        <f>E28+E26</f>
      </c>
      <c r="F29" s="5">
        <f>F28+F26</f>
      </c>
      <c r="G29" s="5">
        <f>G28+G26</f>
      </c>
      <c r="H29" s="5">
        <f>H28+H26</f>
      </c>
      <c r="I29" s="5">
        <f>I28+I26</f>
      </c>
      <c r="J29" s="5">
        <f>J28+J26</f>
      </c>
      <c r="K29" s="5">
        <f>K28+K26</f>
      </c>
      <c r="L29" s="5">
        <f>L28+L26</f>
      </c>
      <c r="M29" s="5">
        <f>M28+M26</f>
      </c>
      <c r="N29" s="5" t="s">
        <v>44</v>
      </c>
      <c r="O29" s="5"/>
      <c r="P29" s="5"/>
      <c r="Q29" s="5"/>
      <c r="R29" s="5"/>
      <c r="S29" s="5"/>
    </row>
    <row r="30" spans="2:22" x14ac:dyDescent="0.25">
      <c r="B30" s="5"/>
      <c r="C30" s="5"/>
      <c r="D30" s="5"/>
      <c r="E30" s="5"/>
      <c r="F30" s="5"/>
      <c r="G30" s="5"/>
      <c r="H30" s="5">
        <f>$D$1-(H6)</f>
      </c>
      <c r="I30" s="5">
        <f>$D$1-(I4+I5+I6+I7+I8+I9+I10+I11+I12+H14+I15+I16+I18+I19+I33+I34+I35+I36+I37+I38+I39+I40+I41+I44+I45+I46+I47+I48)</f>
      </c>
      <c r="J30" s="5">
        <f>$D$1-(J4+J5+J6+J7+J8+J9+J10+J11+J12+I14+J15+J16+J18+J19+J33+J34+J35+J36+J37+J38+J39+J40+J41+J44+J45+J46+J47+J48)</f>
      </c>
      <c r="K30" s="5">
        <f>$D$1-(K4+K5+K6+K7+K8+K9+K10+K11+K12+J14+K15+K16+K18+K19+K33+K34+K35+K36+K37+K38+K39+K40+K41+K44+K45+K46+K47+K48)</f>
      </c>
      <c r="L30" s="5">
        <f>$D$1-(L4+L5+L6+L7+L8+L9+L10+L11+L12+K14+L15+L16+L18+L19+L33+L34+L35+L36+L37+L38+L39+L40+L41+L44+L45+L46+L47+L48)</f>
      </c>
      <c r="M30" s="5">
        <f>$D$1-(M4+M5+M6+M7+M8+M9+M10+M11+M12+L14+M15+M16+M18+M19+M33+M34+M35+M36+M37+M38+M39+M40+M41+M44+M45+M46+M47+M48)</f>
      </c>
      <c r="N30" s="5"/>
      <c r="O30" s="5">
        <f>SUM(B30:M30)</f>
      </c>
      <c r="P30" s="11">
        <f>AVERAGE(B30:M30)</f>
      </c>
      <c r="Q30" s="5">
        <f>O30/52</f>
      </c>
      <c r="R30" s="5">
        <v>-13155.560000000001</v>
      </c>
      <c r="S30" s="5">
        <v>-3288.8900000000003</v>
      </c>
      <c r="T30" s="5">
        <v>73.18000000000006</v>
      </c>
      <c r="U30" s="11">
        <v>73.18000000000006</v>
      </c>
      <c r="V30" s="5">
        <v>1.4073076923076935</v>
      </c>
    </row>
    <row r="31" spans="1:22" x14ac:dyDescent="0.25">
      <c r="A31" s="5" t="s">
        <v>45</v>
      </c>
      <c r="B31" s="50"/>
      <c r="C31" s="50"/>
      <c r="D31" s="50"/>
      <c r="E31" s="50"/>
      <c r="F31" s="50"/>
      <c r="G31" s="50"/>
      <c r="H31" s="50">
        <f>H30-H25</f>
      </c>
      <c r="I31" s="50">
        <f>I30-I25</f>
      </c>
      <c r="J31" s="50">
        <f>J30-J25</f>
      </c>
      <c r="K31" s="50">
        <f>K30-K25</f>
      </c>
      <c r="L31" s="50">
        <f>L30-L25</f>
      </c>
      <c r="M31" s="50">
        <f>M30-M25</f>
      </c>
      <c r="N31" s="5"/>
      <c r="O31" s="5">
        <f>SUM(B31:M31)</f>
      </c>
      <c r="P31" s="11">
        <f>AVERAGE(B31:M31)</f>
      </c>
      <c r="Q31" s="5">
        <f>O31/52</f>
      </c>
      <c r="R31" s="5">
        <v>8087.949797599988</v>
      </c>
      <c r="S31" s="5">
        <v>2021.987449399997</v>
      </c>
      <c r="T31" s="5">
        <v>443.3099999999988</v>
      </c>
      <c r="U31" s="11">
        <v>443.3099999999988</v>
      </c>
      <c r="V31" s="5">
        <v>8.525192307692285</v>
      </c>
    </row>
    <row r="32" spans="1:19" x14ac:dyDescent="0.25">
      <c r="A32" s="51" t="s">
        <v>46</v>
      </c>
      <c r="B32" s="52" t="s">
        <v>3</v>
      </c>
      <c r="C32" s="52" t="s">
        <v>4</v>
      </c>
      <c r="D32" s="52" t="s">
        <v>5</v>
      </c>
      <c r="E32" s="52" t="s">
        <v>6</v>
      </c>
      <c r="F32" s="52" t="s">
        <v>7</v>
      </c>
      <c r="G32" s="52" t="s">
        <v>8</v>
      </c>
      <c r="H32" s="52" t="s">
        <v>9</v>
      </c>
      <c r="I32" s="52" t="s">
        <v>10</v>
      </c>
      <c r="J32" s="52" t="s">
        <v>47</v>
      </c>
      <c r="K32" s="52" t="s">
        <v>12</v>
      </c>
      <c r="L32" s="52" t="s">
        <v>48</v>
      </c>
      <c r="M32" s="52" t="s">
        <v>49</v>
      </c>
      <c r="N32" s="5" t="s">
        <v>46</v>
      </c>
      <c r="O32" s="5"/>
      <c r="P32" s="5"/>
      <c r="Q32" s="5"/>
      <c r="R32" s="5"/>
      <c r="S32" s="5"/>
    </row>
    <row r="33" spans="1:31" x14ac:dyDescent="0.25">
      <c r="A33" s="6" t="s">
        <v>50</v>
      </c>
      <c r="B33" s="20">
        <f>33.32+32.97</f>
      </c>
      <c r="C33" s="20">
        <f>98.97+27.99+61.48</f>
      </c>
      <c r="D33" s="20">
        <f>27.99+40.96+22.99+25.99-27.99</f>
      </c>
      <c r="E33" s="20">
        <v>0</v>
      </c>
      <c r="F33" s="20">
        <f>103.14+14.99+95.93+11.99</f>
      </c>
      <c r="G33" s="20">
        <f>69.71</f>
      </c>
      <c r="H33" s="20">
        <v>0</v>
      </c>
      <c r="I33" s="15">
        <v>40</v>
      </c>
      <c r="J33" s="15">
        <v>40</v>
      </c>
      <c r="K33" s="15">
        <v>40</v>
      </c>
      <c r="L33" s="15">
        <v>40</v>
      </c>
      <c r="M33" s="15">
        <v>40</v>
      </c>
      <c r="N33" s="5" t="s">
        <v>51</v>
      </c>
      <c r="O33" s="5">
        <f>SUM(B33:M33)</f>
      </c>
      <c r="P33" s="11">
        <f>AVERAGE(B33:M33)</f>
      </c>
      <c r="Q33" s="5">
        <f>O33/52</f>
      </c>
      <c r="R33" s="5">
        <v>1015.76</v>
      </c>
      <c r="S33" s="5">
        <v>84.64666666666666</v>
      </c>
      <c r="T33" s="5">
        <v>891</v>
      </c>
      <c r="U33" s="11">
        <v>74.25</v>
      </c>
      <c r="V33" s="5">
        <v>17.134615384615383</v>
      </c>
      <c r="Z33" s="18"/>
      <c r="AA33" s="18"/>
      <c r="AC33" s="12"/>
      <c r="AE33" s="12"/>
    </row>
    <row r="34" spans="1:31" x14ac:dyDescent="0.25">
      <c r="A34" s="6" t="s">
        <v>52</v>
      </c>
      <c r="B34" s="20">
        <v>0</v>
      </c>
      <c r="C34" s="20">
        <v>0</v>
      </c>
      <c r="D34" s="20">
        <f>17+21.99+19.45</f>
      </c>
      <c r="E34" s="20">
        <v>30</v>
      </c>
      <c r="F34" s="20">
        <v>0</v>
      </c>
      <c r="G34" s="20">
        <f>19.99</f>
      </c>
      <c r="H34" s="20">
        <v>255</v>
      </c>
      <c r="I34" s="15">
        <v>15</v>
      </c>
      <c r="J34" s="15">
        <v>15</v>
      </c>
      <c r="K34" s="15">
        <v>15</v>
      </c>
      <c r="L34" s="15">
        <v>15</v>
      </c>
      <c r="M34" s="15">
        <v>15</v>
      </c>
      <c r="N34" s="5" t="s">
        <v>52</v>
      </c>
      <c r="O34" s="5">
        <f>SUM(B34:M34)</f>
      </c>
      <c r="P34" s="11">
        <f>AVERAGE(B34:M34)</f>
      </c>
      <c r="Q34" s="5">
        <f>O34/52</f>
      </c>
      <c r="R34" s="5">
        <v>938.02</v>
      </c>
      <c r="S34" s="5">
        <v>78.16833333333334</v>
      </c>
      <c r="T34" s="5">
        <v>647.9200000000001</v>
      </c>
      <c r="U34" s="11">
        <v>53.99333333333334</v>
      </c>
      <c r="V34" s="5">
        <v>12.46</v>
      </c>
      <c r="AE34" s="12"/>
    </row>
    <row r="35" ht="25.5" customHeight="1" spans="1:22" x14ac:dyDescent="0.25">
      <c r="A35" s="53" t="s">
        <v>53</v>
      </c>
      <c r="B35" s="20">
        <f>15.7+8.8+15.7</f>
      </c>
      <c r="C35" s="20">
        <f>15.7+15.7+3</f>
      </c>
      <c r="D35" s="20">
        <v>15.7</v>
      </c>
      <c r="E35" s="20">
        <f>15.7+2+1.9+15.7</f>
      </c>
      <c r="F35" s="20">
        <f>5.43+6.23+7.2</f>
      </c>
      <c r="G35" s="20">
        <f>15.7+8.8</f>
      </c>
      <c r="H35" s="20">
        <f>10+1+9.2+15.7+1.45+1.45</f>
      </c>
      <c r="I35" s="15">
        <v>15</v>
      </c>
      <c r="J35" s="15">
        <v>15</v>
      </c>
      <c r="K35" s="15">
        <v>15</v>
      </c>
      <c r="L35" s="15">
        <v>15</v>
      </c>
      <c r="M35" s="15">
        <v>15</v>
      </c>
      <c r="N35" s="5" t="s">
        <v>54</v>
      </c>
      <c r="O35" s="5">
        <f>SUM(B35:M35)</f>
      </c>
      <c r="P35" s="11">
        <f>AVERAGE(B35:M35)</f>
      </c>
      <c r="Q35" s="5">
        <f>O35/52</f>
      </c>
      <c r="R35" s="5">
        <v>174.71999999999997</v>
      </c>
      <c r="S35" s="5">
        <v>14.559999999999997</v>
      </c>
      <c r="T35" s="5">
        <v>112.52</v>
      </c>
      <c r="U35" s="11">
        <v>9.376666666666667</v>
      </c>
      <c r="V35" s="5">
        <v>2.163846153846154</v>
      </c>
    </row>
    <row r="36" spans="1:22" x14ac:dyDescent="0.25">
      <c r="A36" s="6" t="s">
        <v>55</v>
      </c>
      <c r="B36" s="20">
        <f>60+55-30-30-40+19.61+30-9</f>
      </c>
      <c r="C36" s="20">
        <f>55-30+710-502.16-193.5+55-30</f>
      </c>
      <c r="D36" s="20">
        <f>-7.95-23.33+55+55-70</f>
      </c>
      <c r="E36" s="20">
        <f>-13.75+55-30+55-30</f>
      </c>
      <c r="F36" s="20">
        <f>-37.75+39.02+55+89.13-11.52-70-30</f>
      </c>
      <c r="G36" s="20">
        <f>55-30+55-30-46.95-25+55</f>
      </c>
      <c r="H36" s="20">
        <f>110-60-25-7.95+55-30+65</f>
      </c>
      <c r="I36" s="15">
        <v>30</v>
      </c>
      <c r="J36" s="15">
        <v>30</v>
      </c>
      <c r="K36" s="15">
        <v>30</v>
      </c>
      <c r="L36" s="15">
        <v>30</v>
      </c>
      <c r="M36" s="15">
        <v>30</v>
      </c>
      <c r="N36" s="5" t="s">
        <v>55</v>
      </c>
      <c r="O36" s="5">
        <f>SUM(B36:M36)</f>
      </c>
      <c r="P36" s="11">
        <f>AVERAGE(B36:M36)</f>
      </c>
      <c r="Q36" s="5">
        <f>O36/52</f>
      </c>
      <c r="R36" s="5">
        <v>168.5</v>
      </c>
      <c r="S36" s="5">
        <v>14.041666666666666</v>
      </c>
      <c r="T36" s="5">
        <v>356.83000000000004</v>
      </c>
      <c r="U36" s="11">
        <v>29.735833333333336</v>
      </c>
      <c r="V36" s="5">
        <v>6.862115384615385</v>
      </c>
    </row>
    <row r="37" spans="1:22" x14ac:dyDescent="0.25">
      <c r="A37" s="6" t="s">
        <v>56</v>
      </c>
      <c r="B37" s="20">
        <f>36.42</f>
      </c>
      <c r="C37" s="20">
        <f>12.09</f>
      </c>
      <c r="D37" s="20">
        <f>9.88</f>
      </c>
      <c r="E37" s="20">
        <v>0</v>
      </c>
      <c r="F37" s="20">
        <f>10.58+10.4+8.81</f>
      </c>
      <c r="G37" s="20">
        <f>25.99+12.08+87.27+11.33+14</f>
      </c>
      <c r="H37" s="20">
        <f>7.85+6.68+7.7</f>
      </c>
      <c r="I37" s="15">
        <v>70</v>
      </c>
      <c r="J37" s="15">
        <v>70</v>
      </c>
      <c r="K37" s="15">
        <v>70</v>
      </c>
      <c r="L37" s="15">
        <v>70</v>
      </c>
      <c r="M37" s="15">
        <v>70</v>
      </c>
      <c r="N37" s="5" t="s">
        <v>56</v>
      </c>
      <c r="O37" s="5">
        <f>SUM(B37:M37)</f>
      </c>
      <c r="P37" s="11">
        <f>AVERAGE(B37:M37)</f>
      </c>
      <c r="Q37" s="5">
        <f>O37/52</f>
      </c>
      <c r="R37" s="5">
        <v>901.29</v>
      </c>
      <c r="S37" s="5">
        <v>75.1075</v>
      </c>
      <c r="T37" s="5">
        <v>522.7</v>
      </c>
      <c r="U37" s="11">
        <v>43.55833333333334</v>
      </c>
      <c r="V37" s="5">
        <v>10.051923076923078</v>
      </c>
    </row>
    <row r="38" spans="1:22" x14ac:dyDescent="0.25">
      <c r="A38" s="6" t="s">
        <v>57</v>
      </c>
      <c r="B38" s="20">
        <f>28</f>
      </c>
      <c r="C38" s="20">
        <f>23.5+50+33.2+21.3+18.9</f>
      </c>
      <c r="D38" s="20">
        <f>16.9+3.5+3.79+12.6+20.9</f>
      </c>
      <c r="E38" s="20">
        <v>17</v>
      </c>
      <c r="F38" s="20">
        <f>17+59.26+21.8+26+7.15+13.78+18.65+12.5+73.25+13.5+14.65</f>
      </c>
      <c r="G38" s="20">
        <f>13.5+32.05</f>
      </c>
      <c r="H38" s="20">
        <f>5.03+29+42+4+28.3</f>
      </c>
      <c r="I38" s="15">
        <v>80</v>
      </c>
      <c r="J38" s="15">
        <v>80</v>
      </c>
      <c r="K38" s="15">
        <v>80</v>
      </c>
      <c r="L38" s="15">
        <v>80</v>
      </c>
      <c r="M38" s="15">
        <v>80</v>
      </c>
      <c r="N38" s="5" t="s">
        <v>57</v>
      </c>
      <c r="O38" s="5">
        <f>SUM(B38:M38)</f>
      </c>
      <c r="P38" s="11">
        <f>AVERAGE(B38:M38)</f>
      </c>
      <c r="Q38" s="5">
        <f>O38/52</f>
      </c>
      <c r="R38" s="5">
        <v>2487.73</v>
      </c>
      <c r="S38" s="5">
        <v>207.31083333333333</v>
      </c>
      <c r="T38" s="5">
        <v>1261.1200000000001</v>
      </c>
      <c r="U38" s="11">
        <v>105.09333333333335</v>
      </c>
      <c r="V38" s="5">
        <v>24.252307692307696</v>
      </c>
    </row>
    <row r="39" spans="1:22" x14ac:dyDescent="0.25">
      <c r="A39" s="6" t="s">
        <v>58</v>
      </c>
      <c r="B39" s="20">
        <f>8+3.35+1+27.84+22.03+16.9+9+8.61</f>
      </c>
      <c r="C39" s="20">
        <f>14.99+9.9+9.99+29.99+1+16.3+53.99</f>
      </c>
      <c r="D39" s="20">
        <f>9+22.48+39.4+2.5+7.95+13.7+3.99</f>
      </c>
      <c r="E39" s="20">
        <f>13.7+3.99+9.99+6.1+38.14+26.9+5+6+12.5+10+7.26+17+64.19</f>
      </c>
      <c r="F39" s="20">
        <f>12.5+56.23+16.9+39.99+11+23+26.79+19.98+29.54+13.7+7.95+1+20.6+31+23.41+20.98+89.99+3.6+40+13.9+43.6+6.19+10.5</f>
      </c>
      <c r="G39" s="20">
        <f>51.62+19.4+36+29.8+3.85+4.6+45.46+27.9+22.92+32.91+29.04+2.2+6.6</f>
      </c>
      <c r="H39" s="20">
        <f>19+10+23.8+3.64</f>
      </c>
      <c r="I39" s="15">
        <v>140</v>
      </c>
      <c r="J39" s="15">
        <v>140</v>
      </c>
      <c r="K39" s="15">
        <v>140</v>
      </c>
      <c r="L39" s="15">
        <v>140</v>
      </c>
      <c r="M39" s="15">
        <v>140</v>
      </c>
      <c r="N39" s="5" t="s">
        <v>58</v>
      </c>
      <c r="O39" s="5">
        <f>SUM(B39:M39)</f>
      </c>
      <c r="P39" s="11">
        <f>AVERAGE(B39:M39)</f>
      </c>
      <c r="Q39" s="5">
        <f>O39/52</f>
      </c>
      <c r="R39" s="5">
        <v>2295.7910494</v>
      </c>
      <c r="S39" s="5">
        <v>191.31592078333333</v>
      </c>
      <c r="T39" s="5">
        <v>2702.31</v>
      </c>
      <c r="U39" s="11">
        <v>225.1925</v>
      </c>
      <c r="V39" s="5">
        <v>51.9675</v>
      </c>
    </row>
    <row r="40" spans="1:22" x14ac:dyDescent="0.25">
      <c r="A40" s="6" t="s">
        <v>59</v>
      </c>
      <c r="B40" s="20">
        <v>50</v>
      </c>
      <c r="C40" s="20">
        <f>50-75</f>
      </c>
      <c r="D40" s="20">
        <f>D56</f>
      </c>
      <c r="E40" s="20">
        <f>E56</f>
      </c>
      <c r="F40" s="20">
        <v>0</v>
      </c>
      <c r="G40" s="20">
        <v>0</v>
      </c>
      <c r="H40" s="20">
        <v>0</v>
      </c>
      <c r="I40" s="15">
        <v>50</v>
      </c>
      <c r="J40" s="15">
        <v>50</v>
      </c>
      <c r="K40" s="15">
        <v>50</v>
      </c>
      <c r="L40" s="15">
        <v>50</v>
      </c>
      <c r="M40" s="15">
        <v>50</v>
      </c>
      <c r="N40" s="5" t="s">
        <v>60</v>
      </c>
      <c r="O40" s="5">
        <f>SUM(B40:M40)</f>
      </c>
      <c r="P40" s="11">
        <f>AVERAGE(B40:M40)</f>
      </c>
      <c r="Q40" s="5">
        <f>O40/52</f>
      </c>
      <c r="R40" s="5">
        <v>476</v>
      </c>
      <c r="S40" s="5">
        <v>39.666666666666664</v>
      </c>
      <c r="T40" s="5">
        <v>1809.35</v>
      </c>
      <c r="U40" s="11">
        <v>150.77916666666667</v>
      </c>
      <c r="V40" s="5">
        <v>34.795192307692304</v>
      </c>
    </row>
    <row r="41" spans="1:22" x14ac:dyDescent="0.25">
      <c r="A41" s="54"/>
      <c r="B41" s="20">
        <v>0</v>
      </c>
      <c r="C41" s="20">
        <v>0</v>
      </c>
      <c r="D41" s="20">
        <v>0</v>
      </c>
      <c r="E41" s="55">
        <v>-22.98</v>
      </c>
      <c r="F41" s="20">
        <v>0</v>
      </c>
      <c r="G41" s="20">
        <v>0</v>
      </c>
      <c r="H41" s="20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5"/>
      <c r="O41" s="5">
        <f>SUM(B41:M41)</f>
      </c>
      <c r="P41" s="11">
        <f>AVERAGE(B41:M41)</f>
      </c>
      <c r="Q41" s="5">
        <f>O41/52</f>
      </c>
      <c r="R41" s="5">
        <v>-1436.7</v>
      </c>
      <c r="S41" s="5">
        <v>-119.72500000000001</v>
      </c>
      <c r="T41" s="5">
        <v>-569.53</v>
      </c>
      <c r="U41" s="11">
        <v>-51.775454545454544</v>
      </c>
      <c r="V41" s="5">
        <v>-10.952499999999999</v>
      </c>
    </row>
    <row r="42" spans="1:22" x14ac:dyDescent="0.25">
      <c r="A42" s="56" t="s">
        <v>61</v>
      </c>
      <c r="B42" s="39">
        <f>SUM(B33:B41)</f>
      </c>
      <c r="C42" s="39">
        <f>SUM(C33:C41)</f>
      </c>
      <c r="D42" s="39">
        <f>SUM(D33:D41)</f>
      </c>
      <c r="E42" s="39">
        <v>0</v>
      </c>
      <c r="F42" s="39">
        <f>SUM(F33:F41)</f>
      </c>
      <c r="G42" s="39">
        <f>SUM(G33:G41)</f>
      </c>
      <c r="H42" s="39">
        <f>SUM(H33:H41)</f>
      </c>
      <c r="I42" s="39">
        <f>SUM(I33:I41)</f>
      </c>
      <c r="J42" s="39">
        <f>SUM(J33:J41)</f>
      </c>
      <c r="K42" s="39">
        <f>SUM(K33:K41)</f>
      </c>
      <c r="L42" s="39">
        <f>SUM(L33:L41)</f>
      </c>
      <c r="M42" s="39">
        <f>SUM(M33:M41)</f>
      </c>
      <c r="N42" s="5" t="s">
        <v>61</v>
      </c>
      <c r="O42" s="5">
        <f>SUM(B42:M42)</f>
      </c>
      <c r="P42" s="11">
        <f>AVERAGE(B42:M42)</f>
      </c>
      <c r="Q42" s="5">
        <f>O42/52</f>
      </c>
      <c r="R42" s="5">
        <v>7207.7110494</v>
      </c>
      <c r="S42" s="5">
        <v>600.64258745</v>
      </c>
      <c r="T42" s="5">
        <v>7958.990000000001</v>
      </c>
      <c r="U42" s="11">
        <v>663.2491666666667</v>
      </c>
      <c r="V42" s="5">
        <v>153.0575</v>
      </c>
    </row>
    <row r="43" spans="1:19" x14ac:dyDescent="0.25">
      <c r="A43" s="43" t="s">
        <v>62</v>
      </c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5" t="s">
        <v>62</v>
      </c>
      <c r="O43" s="5"/>
      <c r="P43" s="5"/>
      <c r="Q43" s="5"/>
      <c r="R43" s="5"/>
      <c r="S43" s="5"/>
    </row>
    <row r="44" spans="2:19" x14ac:dyDescent="0.25">
      <c r="B44" s="57">
        <f>23.92+14.19+1.1+8.99+67.96+18.66+9.85+7.48+8.5+4.35</f>
      </c>
      <c r="C44" s="22">
        <f>11.87+64.56+13.75+16+7.99+6.6+61.62+17.87</f>
      </c>
      <c r="D44" s="22">
        <f>17.08+43.04+35.21+17+14.08+9.37</f>
      </c>
      <c r="E44" s="22">
        <f>157.9+20.04+1.2+4.22</f>
      </c>
      <c r="F44" s="22">
        <f>41.2+232.1+8.4+23.5+5.1+17.98+7.64+3.38+5.1</f>
      </c>
      <c r="G44" s="22">
        <f>257.31+12.09+7.65+3.88+2.2+27.09+28.98+32.57+1.2+7.24</f>
      </c>
      <c r="H44" s="58">
        <f>8.42+11.9+7.8+19.61+16+42.47+3.99+20.14+13.29</f>
      </c>
      <c r="I44" s="23">
        <v>240</v>
      </c>
      <c r="J44" s="23">
        <v>240</v>
      </c>
      <c r="K44" s="23">
        <v>240</v>
      </c>
      <c r="L44" s="23">
        <v>240</v>
      </c>
      <c r="M44" s="23">
        <v>240</v>
      </c>
      <c r="N44" s="18"/>
      <c r="O44" s="5"/>
      <c r="P44" s="5"/>
      <c r="Q44" s="5"/>
      <c r="R44" s="5"/>
      <c r="S44" s="5"/>
    </row>
    <row r="45" spans="1:19" x14ac:dyDescent="0.25">
      <c r="A45" s="18"/>
      <c r="B45" s="22">
        <f>36.37+12.56+1.9+12.14+2.4+20+4.2+22.64+4.22</f>
      </c>
      <c r="C45" s="57">
        <f>2.09+14.41+12+12.42+15+3.7+15.1+6.9+32.85+1.2+5.25+10.4+6.9+22.45+42.04+11+88.9+26.6</f>
      </c>
      <c r="D45" s="22">
        <f>151.39+1.1+22.69+3.15+9.38+22.69+56.18+8.25</f>
      </c>
      <c r="E45" s="22">
        <f>242.4+6.8+56.07+97.55</f>
      </c>
      <c r="F45" s="22">
        <f>11.6+47.43+17.29+48.82+3+47.43-17.29+87.56+2.4+13.45</f>
      </c>
      <c r="G45" s="22">
        <f>26.2+6.9+6.99+2.2+2.2+51.11</f>
      </c>
      <c r="H45" s="22">
        <f>5.1+30.9+33.86+21.72+10.19+8.99+7.22+66.34+19.99+1.1</f>
      </c>
      <c r="I45" s="23">
        <v>240</v>
      </c>
      <c r="J45" s="23">
        <v>240</v>
      </c>
      <c r="K45" s="23">
        <v>240</v>
      </c>
      <c r="L45" s="23">
        <v>240</v>
      </c>
      <c r="M45" s="23">
        <v>240</v>
      </c>
      <c r="N45" s="18"/>
      <c r="O45" s="5"/>
      <c r="P45" s="5"/>
      <c r="Q45" s="5"/>
      <c r="R45" s="5"/>
      <c r="S45" s="5"/>
    </row>
    <row r="46" spans="1:19" x14ac:dyDescent="0.25">
      <c r="A46" s="18"/>
      <c r="B46" s="22">
        <f>31.39+23.58+4.85+55.67+1.1+42.1+36.67+15</f>
      </c>
      <c r="C46" s="22">
        <f>13+58.89+15.16+20+1.1+31.14+148.37</f>
      </c>
      <c r="D46" s="22">
        <f>175.38+20+8.99+25.94+46.86+2</f>
      </c>
      <c r="E46" s="22">
        <f>13+1.1+8.2+3.83+6.55+16.53+14.55+16.48+2.2</f>
      </c>
      <c r="F46" s="57">
        <f>27.16+2.4+7+19.72+3+5.98+108.67+3.6+2.4+6.2+9.89+25.65+50.23+6.17+3</f>
      </c>
      <c r="G46" s="57">
        <f>20.27+30.3+130.87+10.92+7.3+55.31+16.34+10</f>
      </c>
      <c r="H46" s="22">
        <f>355.56+4.62+2.2+18.04+43.8</f>
      </c>
      <c r="I46" s="23">
        <v>240</v>
      </c>
      <c r="J46" s="23">
        <v>240</v>
      </c>
      <c r="K46" s="23">
        <v>240</v>
      </c>
      <c r="L46" s="23">
        <v>240</v>
      </c>
      <c r="M46" s="23">
        <v>240</v>
      </c>
      <c r="N46" s="18"/>
      <c r="O46" s="5"/>
      <c r="P46" s="5"/>
      <c r="Q46" s="5"/>
      <c r="R46" s="5"/>
      <c r="S46" s="5"/>
    </row>
    <row r="47" spans="1:19" x14ac:dyDescent="0.25">
      <c r="A47" s="18"/>
      <c r="B47" s="22">
        <f>17.59+134.06+15.61+139.96+7.82+17.58</f>
      </c>
      <c r="C47" s="22">
        <f>7.79+48.81+24.08+5.85+4.22+3+17.25+25.83+18.32+1.3+17.85</f>
      </c>
      <c r="D47" s="22">
        <f>70.62+8.04+4.23+2.1+22.87+43.54+2.2+8+5.2+3.9+40.93+6.2</f>
      </c>
      <c r="E47" s="57">
        <f>232.82+59.79+43.69+7.1</f>
      </c>
      <c r="F47" s="22">
        <f>111.84+2.28+25.01+15.47+9.65+55.26+28.03+6.7+2.9+10.09+42.5+2.2+21.12+10.95+14.9+19.79+6.1+39+7.1+7.1+53.64+4.4</f>
      </c>
      <c r="G47" s="22">
        <f>124.76+26.98+46.85+8.55+32.75+136.79+1.1+60.97</f>
      </c>
      <c r="H47" s="22">
        <f>58.96+5.55+21.73+15+22.19+85.84+10.7+2.2+284.85+10-H34</f>
      </c>
      <c r="I47" s="23">
        <v>240</v>
      </c>
      <c r="J47" s="23">
        <v>240</v>
      </c>
      <c r="K47" s="23">
        <v>240</v>
      </c>
      <c r="L47" s="23">
        <v>240</v>
      </c>
      <c r="M47" s="23">
        <v>240</v>
      </c>
      <c r="N47" s="18"/>
      <c r="O47" s="5"/>
      <c r="P47" s="5"/>
      <c r="Q47" s="5"/>
      <c r="R47" s="5"/>
      <c r="S47" s="5"/>
    </row>
    <row r="48" spans="2:19" x14ac:dyDescent="0.25">
      <c r="B48" s="22">
        <f>3+26.55+13.07+5.5+41.41+8+3.5+64.08+61.59</f>
      </c>
      <c r="C48" s="22">
        <v>0</v>
      </c>
      <c r="D48" s="22">
        <v>0</v>
      </c>
      <c r="E48" s="22">
        <f>159.13+8.13+10.06+22+13.66+6.05+5.6+3+6.7+5.97+27.33</f>
      </c>
      <c r="F48" s="22">
        <v>0</v>
      </c>
      <c r="G48" s="58">
        <v>0</v>
      </c>
      <c r="H48" s="22">
        <f>3.6+129.45+2.2-22.4+21.01+1.1-58+3.8</f>
      </c>
      <c r="I48" s="23">
        <v>0</v>
      </c>
      <c r="J48" s="23">
        <v>0</v>
      </c>
      <c r="K48" s="23">
        <v>240</v>
      </c>
      <c r="L48" s="23">
        <v>0</v>
      </c>
      <c r="M48" s="23">
        <v>0</v>
      </c>
      <c r="N48" s="18"/>
      <c r="O48" s="5"/>
      <c r="P48" s="5"/>
      <c r="Q48" s="5"/>
      <c r="R48" s="5"/>
      <c r="S48" s="5"/>
    </row>
    <row r="49" spans="2:22" x14ac:dyDescent="0.25">
      <c r="B49" s="4">
        <f>SUM(B44:B48)</f>
      </c>
      <c r="C49" s="59">
        <f>SUM(C44:C48)</f>
      </c>
      <c r="D49" s="59">
        <f>SUM(D44:D48)</f>
      </c>
      <c r="E49" s="59">
        <f>SUM(E44:E48)</f>
      </c>
      <c r="F49" s="59">
        <f>SUM(F44:F48)</f>
      </c>
      <c r="G49" s="59">
        <f>SUM(G44:G48)</f>
      </c>
      <c r="H49" s="59">
        <f>SUM(H44:H48)</f>
      </c>
      <c r="I49" s="59">
        <f>SUM(I44:I48)</f>
      </c>
      <c r="J49" s="59">
        <f>SUM(J44:J48)</f>
      </c>
      <c r="K49" s="59">
        <f>SUM(K44:K48)</f>
      </c>
      <c r="L49" s="59">
        <f>SUM(L44:L48)</f>
      </c>
      <c r="M49" s="59">
        <f>SUM(M44:M48)</f>
      </c>
      <c r="N49" s="18"/>
      <c r="O49" s="5">
        <f>SUM(B49:M49)</f>
      </c>
      <c r="P49" s="11">
        <f>AVERAGE(B49:M49)</f>
      </c>
      <c r="Q49" s="5">
        <f>O49/52</f>
      </c>
      <c r="R49" s="5">
        <v>10400.3</v>
      </c>
      <c r="S49" s="5">
        <v>866.6916666666666</v>
      </c>
      <c r="T49" s="5">
        <v>8614.6</v>
      </c>
      <c r="U49" s="11">
        <v>717.8833333333333</v>
      </c>
      <c r="V49" s="5">
        <v>165.66538461538462</v>
      </c>
    </row>
    <row r="50" spans="1:19" x14ac:dyDescent="0.25">
      <c r="A50" s="18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60"/>
      <c r="O50" s="5"/>
      <c r="P50" s="5"/>
      <c r="Q50" s="5"/>
      <c r="R50" s="5"/>
      <c r="S50" s="5"/>
    </row>
    <row r="51" ht="38.25" customHeight="1" spans="1:24" x14ac:dyDescent="0.25">
      <c r="A51" s="61" t="s">
        <v>63</v>
      </c>
      <c r="B51" s="62">
        <f>SUM(B53:B59)</f>
      </c>
      <c r="C51" s="62">
        <f>SUM(C53:C59)</f>
      </c>
      <c r="D51" s="62">
        <f>SUM(D53:D59)</f>
      </c>
      <c r="E51" s="62">
        <f>SUM(E53:E59)</f>
      </c>
      <c r="F51" s="62">
        <f>SUM(F53:F59)</f>
      </c>
      <c r="G51" s="62">
        <f>SUM(G53:G59)</f>
      </c>
      <c r="H51" s="62">
        <f>SUM(H53:H59)</f>
      </c>
      <c r="I51" s="62">
        <f>SUM(I53:I59)</f>
      </c>
      <c r="J51" s="62">
        <f>SUM(J53:J59)</f>
      </c>
      <c r="K51" s="62">
        <f>SUM(K53:K59)</f>
      </c>
      <c r="L51" s="62">
        <f>SUM(L53:L59)</f>
      </c>
      <c r="M51" s="62">
        <f>SUM(M53:M59)</f>
      </c>
      <c r="O51" s="5">
        <f>SUM(B51:M51)</f>
      </c>
      <c r="P51" s="11">
        <f>AVERAGE(B51:M51)</f>
      </c>
      <c r="Q51" s="5">
        <f>O51/52</f>
      </c>
      <c r="R51" s="5">
        <v>7998.46</v>
      </c>
      <c r="S51" s="5">
        <v>666.5383333333333</v>
      </c>
      <c r="T51" s="5"/>
      <c r="U51" s="5"/>
      <c r="V51" s="5"/>
      <c r="W51" s="63" t="s">
        <v>64</v>
      </c>
      <c r="X51" s="64" t="s">
        <v>65</v>
      </c>
    </row>
    <row r="52" spans="1:24" x14ac:dyDescent="0.25">
      <c r="A52" t="s">
        <v>66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5498.46</v>
      </c>
      <c r="S52" s="5"/>
      <c r="T52" s="5"/>
      <c r="U52" s="11"/>
      <c r="V52" s="5"/>
      <c r="W52" s="18" t="s">
        <v>67</v>
      </c>
      <c r="X52" s="65" t="s">
        <v>68</v>
      </c>
    </row>
    <row r="53" spans="1:24" x14ac:dyDescent="0.25">
      <c r="A53" s="18" t="s">
        <v>69</v>
      </c>
      <c r="B53" s="66">
        <f>B12</f>
      </c>
      <c r="C53" s="66">
        <f>C12</f>
      </c>
      <c r="D53" s="66">
        <f>200</f>
      </c>
      <c r="E53" s="66">
        <f>E12</f>
      </c>
      <c r="F53" s="66">
        <v>300</v>
      </c>
      <c r="G53" s="66">
        <f>G12</f>
      </c>
      <c r="H53" s="67">
        <f>H12</f>
      </c>
      <c r="I53" s="5">
        <f>I12</f>
      </c>
      <c r="J53" s="5">
        <f>J12</f>
      </c>
      <c r="K53" s="5">
        <f>K12</f>
      </c>
      <c r="L53" s="5">
        <f>L12</f>
      </c>
      <c r="M53" s="5">
        <f>M12</f>
      </c>
      <c r="N53" s="18" t="s">
        <v>69</v>
      </c>
      <c r="O53" s="5">
        <f>SUM(B53:M53)</f>
      </c>
      <c r="P53" s="11">
        <f>AVERAGE(B53:M53)</f>
      </c>
      <c r="Q53" s="5">
        <f>O53/52</f>
      </c>
      <c r="R53" s="5">
        <v>1600</v>
      </c>
      <c r="S53" s="5">
        <v>133.33333333333334</v>
      </c>
      <c r="T53" s="65" t="s">
        <v>70</v>
      </c>
      <c r="U53" s="5"/>
      <c r="V53" s="5"/>
      <c r="W53" s="18" t="s">
        <v>71</v>
      </c>
      <c r="X53" s="65" t="s">
        <v>72</v>
      </c>
    </row>
    <row r="54" spans="1:24" x14ac:dyDescent="0.25">
      <c r="A54" s="18" t="s">
        <v>73</v>
      </c>
      <c r="B54" s="66">
        <v>100</v>
      </c>
      <c r="C54" s="66">
        <v>0</v>
      </c>
      <c r="D54" s="66">
        <v>100</v>
      </c>
      <c r="E54" s="66">
        <v>0</v>
      </c>
      <c r="F54" s="66">
        <v>0</v>
      </c>
      <c r="G54" s="66">
        <v>0</v>
      </c>
      <c r="H54" s="67">
        <v>0</v>
      </c>
      <c r="I54" s="5">
        <f>100</f>
      </c>
      <c r="J54" s="5">
        <f>100</f>
      </c>
      <c r="K54" s="5">
        <f>100</f>
      </c>
      <c r="L54" s="5">
        <f>100</f>
      </c>
      <c r="M54" s="5">
        <f>100</f>
      </c>
      <c r="N54" s="18" t="s">
        <v>73</v>
      </c>
      <c r="O54" s="5">
        <f>SUM(B54:M54)</f>
      </c>
      <c r="P54" s="11">
        <f>AVERAGE(B54:M54)</f>
      </c>
      <c r="Q54" s="5">
        <f>O54/52</f>
      </c>
      <c r="R54" s="5">
        <v>2258.46</v>
      </c>
      <c r="S54" s="5">
        <v>188.205</v>
      </c>
      <c r="T54" s="65" t="s">
        <v>74</v>
      </c>
      <c r="U54" s="5"/>
      <c r="V54" s="5"/>
      <c r="W54" s="18" t="s">
        <v>75</v>
      </c>
      <c r="X54" s="65" t="s">
        <v>74</v>
      </c>
    </row>
    <row r="55" spans="1:24" x14ac:dyDescent="0.25">
      <c r="A55" s="18" t="s">
        <v>34</v>
      </c>
      <c r="B55" s="66">
        <f>B19</f>
      </c>
      <c r="C55" s="66">
        <v>0</v>
      </c>
      <c r="D55" s="66">
        <f>D19</f>
      </c>
      <c r="E55" s="66">
        <f>E19</f>
      </c>
      <c r="F55" s="66">
        <v>0</v>
      </c>
      <c r="G55" s="66">
        <v>0</v>
      </c>
      <c r="H55" s="67">
        <f>H19</f>
      </c>
      <c r="I55" s="5">
        <f>I19</f>
      </c>
      <c r="J55" s="5">
        <f>J19</f>
      </c>
      <c r="K55" s="5">
        <f>K19</f>
      </c>
      <c r="L55" s="5">
        <f>L19</f>
      </c>
      <c r="M55" s="5">
        <f>M19</f>
      </c>
      <c r="N55" s="18" t="s">
        <v>34</v>
      </c>
      <c r="O55" s="5">
        <f>SUM(C55:M55)</f>
      </c>
      <c r="P55" s="11">
        <f>AVERAGE(C55:M55)</f>
      </c>
      <c r="Q55" s="5">
        <f>O55/52</f>
      </c>
      <c r="R55" s="5">
        <v>1550</v>
      </c>
      <c r="S55" s="5">
        <v>129.16666666666666</v>
      </c>
      <c r="T55" s="65" t="s">
        <v>76</v>
      </c>
      <c r="U55" s="5"/>
      <c r="V55" s="5"/>
      <c r="W55" s="18" t="s">
        <v>77</v>
      </c>
      <c r="X55" s="65" t="s">
        <v>76</v>
      </c>
    </row>
    <row r="56" spans="1:24" x14ac:dyDescent="0.25">
      <c r="A56" s="18" t="s">
        <v>78</v>
      </c>
      <c r="B56" s="66">
        <f>B40</f>
      </c>
      <c r="C56" s="66">
        <v>0</v>
      </c>
      <c r="D56" s="66">
        <v>0</v>
      </c>
      <c r="E56" s="66">
        <v>0</v>
      </c>
      <c r="F56" s="66">
        <f>F40</f>
      </c>
      <c r="G56" s="66">
        <f>G40</f>
      </c>
      <c r="H56" s="67">
        <f>H40</f>
      </c>
      <c r="I56" s="5">
        <f>I40</f>
      </c>
      <c r="J56" s="5">
        <f>J40</f>
      </c>
      <c r="K56" s="5">
        <f>K40</f>
      </c>
      <c r="L56" s="5">
        <f>L40</f>
      </c>
      <c r="M56" s="5">
        <f>M40</f>
      </c>
      <c r="N56" s="18" t="s">
        <v>78</v>
      </c>
      <c r="O56" s="5">
        <f>SUM(B56:M56)</f>
      </c>
      <c r="P56" s="11">
        <f>AVERAGE(B56:M56)</f>
      </c>
      <c r="Q56" s="5">
        <f>O56/52</f>
      </c>
      <c r="R56" s="5">
        <v>400</v>
      </c>
      <c r="S56" s="5">
        <v>33.333333333333336</v>
      </c>
      <c r="T56" s="65" t="s">
        <v>68</v>
      </c>
      <c r="U56" s="5"/>
      <c r="V56" s="5"/>
      <c r="W56" s="18" t="s">
        <v>30</v>
      </c>
      <c r="X56" s="65" t="s">
        <v>74</v>
      </c>
    </row>
    <row r="57" spans="1:24" x14ac:dyDescent="0.25">
      <c r="A57" s="18" t="s">
        <v>31</v>
      </c>
      <c r="B57" s="66">
        <v>100</v>
      </c>
      <c r="C57" s="66">
        <v>0</v>
      </c>
      <c r="D57" s="66">
        <v>5</v>
      </c>
      <c r="E57" s="66">
        <v>0</v>
      </c>
      <c r="F57" s="66">
        <v>0</v>
      </c>
      <c r="G57" s="66">
        <v>0</v>
      </c>
      <c r="H57" s="67">
        <v>0</v>
      </c>
      <c r="I57" s="5">
        <v>24</v>
      </c>
      <c r="J57" s="5">
        <v>24</v>
      </c>
      <c r="K57" s="5">
        <v>24</v>
      </c>
      <c r="L57" s="5">
        <v>24</v>
      </c>
      <c r="M57" s="5">
        <v>24</v>
      </c>
      <c r="N57" s="18" t="s">
        <v>31</v>
      </c>
      <c r="O57" s="5">
        <f>SUM(B57:M57)</f>
      </c>
      <c r="P57" s="11">
        <f>AVERAGE(B57:M57)</f>
      </c>
      <c r="Q57" s="5">
        <f>O57/52</f>
      </c>
      <c r="R57" s="5">
        <v>720</v>
      </c>
      <c r="S57" s="5">
        <v>60</v>
      </c>
      <c r="T57" s="65" t="s">
        <v>72</v>
      </c>
      <c r="U57" s="5"/>
      <c r="V57" s="5"/>
      <c r="W57" s="18" t="s">
        <v>79</v>
      </c>
      <c r="X57" s="65" t="s">
        <v>70</v>
      </c>
    </row>
    <row r="58" ht="51" customHeight="1" spans="1:24" x14ac:dyDescent="0.25">
      <c r="A58" s="18" t="s">
        <v>80</v>
      </c>
      <c r="B58" s="66">
        <f>B18</f>
      </c>
      <c r="C58" s="66">
        <v>0</v>
      </c>
      <c r="D58" s="66">
        <v>0</v>
      </c>
      <c r="E58" s="66">
        <v>0</v>
      </c>
      <c r="F58" s="66">
        <v>0</v>
      </c>
      <c r="G58" s="66">
        <v>0</v>
      </c>
      <c r="H58" s="67">
        <v>0</v>
      </c>
      <c r="I58" s="5">
        <f>I18</f>
      </c>
      <c r="J58" s="5">
        <f>J18</f>
      </c>
      <c r="K58" s="5">
        <f>K18</f>
      </c>
      <c r="L58" s="5">
        <f>L18</f>
      </c>
      <c r="M58" s="5">
        <f>M18</f>
      </c>
      <c r="N58" s="18" t="s">
        <v>80</v>
      </c>
      <c r="O58" s="5">
        <f>SUM(B58:M58)</f>
      </c>
      <c r="P58" s="11">
        <f>AVERAGE(B58:M58)</f>
      </c>
      <c r="Q58" s="5">
        <f>O58/52</f>
      </c>
      <c r="R58" s="5">
        <v>270</v>
      </c>
      <c r="S58" s="5">
        <v>22.5</v>
      </c>
      <c r="T58" s="65" t="s">
        <v>76</v>
      </c>
      <c r="U58" s="5"/>
      <c r="V58" s="5"/>
      <c r="W58" s="63" t="s">
        <v>81</v>
      </c>
      <c r="X58" s="65"/>
    </row>
    <row r="59" spans="1:20" x14ac:dyDescent="0.25">
      <c r="A59" s="18" t="s">
        <v>82</v>
      </c>
      <c r="B59" s="66">
        <v>0</v>
      </c>
      <c r="C59" s="66">
        <v>0</v>
      </c>
      <c r="D59" s="66">
        <v>0</v>
      </c>
      <c r="E59" s="66">
        <v>0</v>
      </c>
      <c r="F59" s="66">
        <v>0</v>
      </c>
      <c r="G59" s="66">
        <v>0</v>
      </c>
      <c r="H59" s="67">
        <f>-440-110</f>
      </c>
      <c r="I59" s="5">
        <v>120</v>
      </c>
      <c r="J59" s="5">
        <v>0</v>
      </c>
      <c r="K59" s="5">
        <v>120</v>
      </c>
      <c r="L59" s="5">
        <v>0</v>
      </c>
      <c r="M59" s="5">
        <v>120</v>
      </c>
      <c r="N59" s="18" t="s">
        <v>82</v>
      </c>
      <c r="O59" s="5">
        <f>SUM(B59:M59)</f>
      </c>
      <c r="P59" s="11">
        <f>AVERAGE(B59:M59)</f>
      </c>
      <c r="Q59" s="5">
        <f>O59/52</f>
      </c>
      <c r="R59" s="5">
        <v>300</v>
      </c>
      <c r="S59" s="5">
        <v>25</v>
      </c>
      <c r="T59" s="65" t="s">
        <v>74</v>
      </c>
    </row>
    <row r="60" spans="1:13" x14ac:dyDescent="0.25">
      <c r="A60" s="5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101" spans="1:2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1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2026-10-02T20:25:15Z</dcterms:created>
  <dcterms:modified xsi:type="dcterms:W3CDTF">2026-10-02T20:25:15Z</dcterms:modified>
</cp:coreProperties>
</file>